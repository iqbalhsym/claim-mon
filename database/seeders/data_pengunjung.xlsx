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00 NOTA DINAS REKAM MEDIS\HASIL NOTA DINAS\DIREKSI\2026\"/>
    </mc:Choice>
  </mc:AlternateContent>
  <bookViews>
    <workbookView xWindow="0" yWindow="0" windowWidth="20490" windowHeight="7230"/>
  </bookViews>
  <sheets>
    <sheet name="Grafik" sheetId="8" r:id="rId1"/>
    <sheet name="Summary" sheetId="9" r:id="rId2"/>
    <sheet name="Pengunjung Grafik" sheetId="5" state="hidden" r:id="rId3"/>
    <sheet name="Pengunjung Per Bulan Grafik" sheetId="7" state="hidden" r:id="rId4"/>
    <sheet name="Penjamin Grafik" sheetId="6" state="hidden" r:id="rId5"/>
  </sheets>
  <definedNames>
    <definedName name="_xlnm._FilterDatabase" localSheetId="2" hidden="1">'Pengunjung Grafik'!$J$3:$K$3</definedName>
    <definedName name="_xlnm._FilterDatabase" localSheetId="3" hidden="1">'Pengunjung Per Bulan Grafik'!$A$28:$Q$28</definedName>
    <definedName name="_xlnm._FilterDatabase" localSheetId="4" hidden="1">'Penjamin Grafik'!$A$3:$D$3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E72" i="9"/>
  <c r="C72" i="9"/>
  <c r="C65" i="9"/>
  <c r="C66" i="9"/>
  <c r="C67" i="9"/>
  <c r="C68" i="9"/>
  <c r="C69" i="9"/>
  <c r="C70" i="9"/>
  <c r="C71" i="9"/>
  <c r="C64" i="9"/>
  <c r="C60" i="9"/>
  <c r="C61" i="9"/>
  <c r="C62" i="9"/>
  <c r="C63" i="9"/>
  <c r="C59" i="9"/>
  <c r="C58" i="9"/>
  <c r="D64" i="9"/>
  <c r="D59" i="9"/>
  <c r="B64" i="9"/>
  <c r="B72" i="9" s="1"/>
  <c r="B5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39" i="9"/>
  <c r="N53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39" i="9"/>
  <c r="P53" i="9"/>
  <c r="O53" i="9"/>
  <c r="K53" i="9"/>
  <c r="J53" i="9"/>
  <c r="G53" i="9"/>
  <c r="F53" i="9"/>
  <c r="C53" i="9"/>
  <c r="B53" i="9"/>
  <c r="Q45" i="9"/>
  <c r="P45" i="9"/>
  <c r="O45" i="9"/>
  <c r="M45" i="9"/>
  <c r="L45" i="9"/>
  <c r="K45" i="9"/>
  <c r="J45" i="9"/>
  <c r="I45" i="9"/>
  <c r="H45" i="9"/>
  <c r="G45" i="9"/>
  <c r="F45" i="9"/>
  <c r="E45" i="9"/>
  <c r="D45" i="9"/>
  <c r="C45" i="9"/>
  <c r="B45" i="9"/>
  <c r="Q40" i="9"/>
  <c r="Q53" i="9" s="1"/>
  <c r="P40" i="9"/>
  <c r="O40" i="9"/>
  <c r="M40" i="9"/>
  <c r="M53" i="9" s="1"/>
  <c r="L40" i="9"/>
  <c r="L53" i="9" s="1"/>
  <c r="K40" i="9"/>
  <c r="J40" i="9"/>
  <c r="I40" i="9"/>
  <c r="I53" i="9" s="1"/>
  <c r="H40" i="9"/>
  <c r="H53" i="9" s="1"/>
  <c r="G40" i="9"/>
  <c r="F40" i="9"/>
  <c r="E40" i="9"/>
  <c r="E53" i="9" s="1"/>
  <c r="D40" i="9"/>
  <c r="D53" i="9" s="1"/>
  <c r="C40" i="9"/>
  <c r="B40" i="9"/>
  <c r="B34" i="9"/>
  <c r="C31" i="9" s="1"/>
  <c r="B25" i="9"/>
  <c r="C23" i="9" s="1"/>
  <c r="B10" i="9"/>
  <c r="B5" i="9"/>
  <c r="D72" i="9" l="1"/>
  <c r="S53" i="9"/>
  <c r="C32" i="9"/>
  <c r="C30" i="9"/>
  <c r="C28" i="9"/>
  <c r="C29" i="9"/>
  <c r="C33" i="9"/>
  <c r="C22" i="9"/>
  <c r="C21" i="9"/>
  <c r="C24" i="9"/>
  <c r="B18" i="9"/>
  <c r="C5" i="9" s="1"/>
  <c r="Q29" i="7"/>
  <c r="Q32" i="7"/>
  <c r="Q31" i="7"/>
  <c r="Q30" i="7"/>
  <c r="Q8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B7" i="7"/>
  <c r="C5" i="7"/>
  <c r="C8" i="7" s="1"/>
  <c r="D5" i="7"/>
  <c r="E5" i="7"/>
  <c r="F5" i="7"/>
  <c r="G5" i="7"/>
  <c r="G8" i="7" s="1"/>
  <c r="H5" i="7"/>
  <c r="I5" i="7"/>
  <c r="J5" i="7"/>
  <c r="K5" i="7"/>
  <c r="L5" i="7"/>
  <c r="M5" i="7"/>
  <c r="N5" i="7"/>
  <c r="O5" i="7"/>
  <c r="O8" i="7" s="1"/>
  <c r="P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B6" i="7"/>
  <c r="B5" i="7"/>
  <c r="C4" i="7"/>
  <c r="D4" i="7"/>
  <c r="E4" i="7"/>
  <c r="F4" i="7"/>
  <c r="F8" i="7" s="1"/>
  <c r="G4" i="7"/>
  <c r="H4" i="7"/>
  <c r="I4" i="7"/>
  <c r="J4" i="7"/>
  <c r="J8" i="7" s="1"/>
  <c r="K4" i="7"/>
  <c r="K8" i="7" s="1"/>
  <c r="L4" i="7"/>
  <c r="M4" i="7"/>
  <c r="N4" i="7"/>
  <c r="N8" i="7" s="1"/>
  <c r="O4" i="7"/>
  <c r="P4" i="7"/>
  <c r="B4" i="7"/>
  <c r="Q14" i="7"/>
  <c r="Q15" i="7"/>
  <c r="Q16" i="7"/>
  <c r="Q17" i="7"/>
  <c r="Q18" i="7"/>
  <c r="Q19" i="7"/>
  <c r="Q20" i="7"/>
  <c r="Q21" i="7"/>
  <c r="Q22" i="7"/>
  <c r="Q23" i="7"/>
  <c r="Q24" i="7"/>
  <c r="Q13" i="7"/>
  <c r="N25" i="7"/>
  <c r="O25" i="7"/>
  <c r="P25" i="7"/>
  <c r="M25" i="7"/>
  <c r="L25" i="7"/>
  <c r="K25" i="7"/>
  <c r="J25" i="7"/>
  <c r="I25" i="7"/>
  <c r="H25" i="7"/>
  <c r="G25" i="7"/>
  <c r="F25" i="7"/>
  <c r="E25" i="7"/>
  <c r="D25" i="7"/>
  <c r="C25" i="7"/>
  <c r="B25" i="7"/>
  <c r="S5" i="6"/>
  <c r="S8" i="6"/>
  <c r="S9" i="6"/>
  <c r="S7" i="6"/>
  <c r="S6" i="6"/>
  <c r="S4" i="6"/>
  <c r="N5" i="6"/>
  <c r="N6" i="6"/>
  <c r="N7" i="6"/>
  <c r="N4" i="6"/>
  <c r="D7" i="6"/>
  <c r="G16" i="6"/>
  <c r="H16" i="6"/>
  <c r="I15" i="6"/>
  <c r="I14" i="6"/>
  <c r="I13" i="6"/>
  <c r="I12" i="6"/>
  <c r="I11" i="6"/>
  <c r="I10" i="6"/>
  <c r="I9" i="6"/>
  <c r="I8" i="6"/>
  <c r="I7" i="6"/>
  <c r="I6" i="6"/>
  <c r="I5" i="6"/>
  <c r="I4" i="6"/>
  <c r="D6" i="6"/>
  <c r="D5" i="6"/>
  <c r="D4" i="6"/>
  <c r="B8" i="7" l="1"/>
  <c r="P8" i="7"/>
  <c r="L8" i="7"/>
  <c r="H8" i="7"/>
  <c r="D8" i="7"/>
  <c r="M8" i="7"/>
  <c r="I8" i="7"/>
  <c r="E8" i="7"/>
  <c r="Q25" i="7"/>
  <c r="E60" i="9"/>
  <c r="E64" i="9"/>
  <c r="E68" i="9"/>
  <c r="E58" i="9"/>
  <c r="E61" i="9"/>
  <c r="E65" i="9"/>
  <c r="E69" i="9"/>
  <c r="E62" i="9"/>
  <c r="E66" i="9"/>
  <c r="E70" i="9"/>
  <c r="E59" i="9"/>
  <c r="E63" i="9"/>
  <c r="E67" i="9"/>
  <c r="E71" i="9"/>
  <c r="C25" i="9"/>
  <c r="C34" i="9"/>
  <c r="C16" i="9"/>
  <c r="C12" i="9"/>
  <c r="C7" i="9"/>
  <c r="C15" i="9"/>
  <c r="C11" i="9"/>
  <c r="C8" i="9"/>
  <c r="C14" i="9"/>
  <c r="C10" i="9"/>
  <c r="C9" i="9"/>
  <c r="C17" i="9"/>
  <c r="C13" i="9"/>
  <c r="C6" i="9"/>
  <c r="C4" i="9"/>
  <c r="I16" i="6"/>
  <c r="C18" i="9" l="1"/>
</calcChain>
</file>

<file path=xl/sharedStrings.xml><?xml version="1.0" encoding="utf-8"?>
<sst xmlns="http://schemas.openxmlformats.org/spreadsheetml/2006/main" count="193" uniqueCount="39">
  <si>
    <t>Jawa Barat</t>
  </si>
  <si>
    <t xml:space="preserve">Kota Administrasi Jakarta Barat </t>
  </si>
  <si>
    <t>DKI Jakarta</t>
  </si>
  <si>
    <t>Banten</t>
  </si>
  <si>
    <t xml:space="preserve">Kota Administrasi Jakarta Selatan </t>
  </si>
  <si>
    <t>Depok</t>
  </si>
  <si>
    <t xml:space="preserve">Kota Administrasi Jakarta Timur </t>
  </si>
  <si>
    <t xml:space="preserve">Kota Administrasi Jakarta Utara </t>
  </si>
  <si>
    <t xml:space="preserve">Kota Administrasi Jakarta Pusat </t>
  </si>
  <si>
    <t>Bogor</t>
  </si>
  <si>
    <t>Lain-lain</t>
  </si>
  <si>
    <t>Bekasi</t>
  </si>
  <si>
    <t>Kabupaten Administrasi Kepulauan Seribu</t>
  </si>
  <si>
    <t>Wilayah</t>
  </si>
  <si>
    <t>Jumlah</t>
  </si>
  <si>
    <t>Total</t>
  </si>
  <si>
    <t>Jawa Barat - Bekasi</t>
  </si>
  <si>
    <t>Jawa Barat - Bogor</t>
  </si>
  <si>
    <t>Jawa Barat - Depok</t>
  </si>
  <si>
    <t>Jawa Barat Lainnya</t>
  </si>
  <si>
    <t>DKI Jakarta - Kabupaten Administrasi Kepulauan Seribu</t>
  </si>
  <si>
    <t xml:space="preserve">DKI Jakarta - Kota Administrasi Jakarta Barat </t>
  </si>
  <si>
    <t xml:space="preserve">DKI Jakarta - Kota Administrasi Jakarta Pusat </t>
  </si>
  <si>
    <t xml:space="preserve">DKI Jakarta - Kota Administrasi Jakarta Selatan </t>
  </si>
  <si>
    <t xml:space="preserve">DKI Jakarta - Kota Administrasi Jakarta Timur </t>
  </si>
  <si>
    <t xml:space="preserve">DKI Jakarta - Kota Administrasi Jakarta Utara </t>
  </si>
  <si>
    <t>JKN</t>
  </si>
  <si>
    <t>Non JKN</t>
  </si>
  <si>
    <t>JUMLAH PENGUNJUNG</t>
  </si>
  <si>
    <t>JUMLAH PENGUNJUNG BERDASARKAN PENJAMINAN</t>
  </si>
  <si>
    <t>Persentase (%)</t>
  </si>
  <si>
    <t>JUMLAH PENGUNJUNG PER BULAN</t>
  </si>
  <si>
    <t>JUMLAH PENGUNJUNG PER PENJAMINAN</t>
  </si>
  <si>
    <t>Kepulauan Seribu</t>
  </si>
  <si>
    <t xml:space="preserve">Jakarta Barat </t>
  </si>
  <si>
    <t xml:space="preserve">Jakarta Pusat </t>
  </si>
  <si>
    <t xml:space="preserve">Jakarta Selatan </t>
  </si>
  <si>
    <t xml:space="preserve">Jakarta Timur </t>
  </si>
  <si>
    <t xml:space="preserve">Jakarta Utara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</si>
</sst>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6"/>
      <color theme="0"/>
      <name val="Cambria"/>
      <family val="1"/>
    </font>
    <font>
      <b/>
      <sz val="11"/>
      <name val="Cambria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theme="4" tint="0.79998168889431442"/>
      </patternFill>
    </fill>
    <fill>
      <patternFill patternType="solid">
        <fgColor theme="9" tint="-0.249977111117893"/>
        <bgColor theme="4" tint="0.79998168889431442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4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9" fontId="2" fillId="4" borderId="1" xfId="1" applyFont="1" applyFill="1" applyBorder="1"/>
    <xf numFmtId="0" fontId="5" fillId="5" borderId="0" xfId="0" applyFont="1" applyFill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4" fillId="3" borderId="1" xfId="0" applyFont="1" applyFill="1" applyBorder="1" applyAlignment="1">
      <alignment horizontal="right"/>
    </xf>
    <xf numFmtId="9" fontId="4" fillId="3" borderId="1" xfId="1" applyFont="1" applyFill="1" applyBorder="1" applyAlignment="1">
      <alignment horizontal="right"/>
    </xf>
    <xf numFmtId="17" fontId="2" fillId="2" borderId="1" xfId="0" applyNumberFormat="1" applyFont="1" applyFill="1" applyBorder="1" applyAlignment="1">
      <alignment horizontal="center"/>
    </xf>
    <xf numFmtId="0" fontId="2" fillId="6" borderId="1" xfId="0" applyNumberFormat="1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9" fontId="2" fillId="6" borderId="1" xfId="1" applyFont="1" applyFill="1" applyBorder="1"/>
    <xf numFmtId="0" fontId="2" fillId="4" borderId="1" xfId="0" applyFont="1" applyFill="1" applyBorder="1" applyAlignment="1">
      <alignment horizontal="left"/>
    </xf>
    <xf numFmtId="10" fontId="2" fillId="6" borderId="1" xfId="1" applyNumberFormat="1" applyFont="1" applyFill="1" applyBorder="1"/>
    <xf numFmtId="0" fontId="2" fillId="10" borderId="1" xfId="0" applyFont="1" applyFill="1" applyBorder="1" applyAlignment="1">
      <alignment horizontal="center" vertical="top" wrapText="1"/>
    </xf>
    <xf numFmtId="0" fontId="2" fillId="9" borderId="1" xfId="0" applyNumberFormat="1" applyFont="1" applyFill="1" applyBorder="1"/>
    <xf numFmtId="9" fontId="2" fillId="13" borderId="1" xfId="1" applyFont="1" applyFill="1" applyBorder="1" applyAlignment="1">
      <alignment horizontal="right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right"/>
    </xf>
    <xf numFmtId="9" fontId="4" fillId="11" borderId="1" xfId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 vertical="top" wrapText="1"/>
    </xf>
    <xf numFmtId="0" fontId="2" fillId="16" borderId="1" xfId="0" applyNumberFormat="1" applyFont="1" applyFill="1" applyBorder="1"/>
    <xf numFmtId="10" fontId="6" fillId="17" borderId="1" xfId="1" applyNumberFormat="1" applyFont="1" applyFill="1" applyBorder="1" applyAlignment="1">
      <alignment horizontal="right"/>
    </xf>
    <xf numFmtId="9" fontId="6" fillId="17" borderId="1" xfId="1" applyFont="1" applyFill="1" applyBorder="1" applyAlignment="1">
      <alignment horizontal="right"/>
    </xf>
    <xf numFmtId="0" fontId="4" fillId="18" borderId="1" xfId="0" applyFont="1" applyFill="1" applyBorder="1" applyAlignment="1">
      <alignment horizontal="right"/>
    </xf>
    <xf numFmtId="0" fontId="4" fillId="19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right"/>
    </xf>
    <xf numFmtId="9" fontId="4" fillId="19" borderId="1" xfId="1" applyFont="1" applyFill="1" applyBorder="1" applyAlignment="1">
      <alignment horizontal="right"/>
    </xf>
    <xf numFmtId="17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4" fillId="21" borderId="1" xfId="0" applyNumberFormat="1" applyFont="1" applyFill="1" applyBorder="1"/>
    <xf numFmtId="0" fontId="4" fillId="20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 vertical="top"/>
    </xf>
    <xf numFmtId="0" fontId="6" fillId="14" borderId="1" xfId="0" applyFont="1" applyFill="1" applyBorder="1" applyAlignment="1">
      <alignment horizontal="center" vertical="top"/>
    </xf>
    <xf numFmtId="0" fontId="6" fillId="6" borderId="1" xfId="0" applyNumberFormat="1" applyFont="1" applyFill="1" applyBorder="1"/>
    <xf numFmtId="0" fontId="6" fillId="8" borderId="1" xfId="0" applyNumberFormat="1" applyFont="1" applyFill="1" applyBorder="1"/>
    <xf numFmtId="0" fontId="6" fillId="7" borderId="1" xfId="0" applyNumberFormat="1" applyFont="1" applyFill="1" applyBorder="1"/>
    <xf numFmtId="0" fontId="2" fillId="14" borderId="1" xfId="0" applyFont="1" applyFill="1" applyBorder="1" applyAlignment="1">
      <alignment horizontal="center" vertical="top" wrapText="1"/>
    </xf>
    <xf numFmtId="9" fontId="4" fillId="8" borderId="1" xfId="1" applyFont="1" applyFill="1" applyBorder="1"/>
    <xf numFmtId="0" fontId="4" fillId="20" borderId="1" xfId="0" applyFont="1" applyFill="1" applyBorder="1" applyAlignment="1">
      <alignment horizontal="center"/>
    </xf>
    <xf numFmtId="9" fontId="4" fillId="20" borderId="1" xfId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3300"/>
      <color rgb="FFA50021"/>
      <color rgb="FF800000"/>
      <color rgb="FFCC0066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/>
              <a:t>SEBARAN PASIEN PER WILAYAH</a:t>
            </a:r>
            <a:r>
              <a:rPr lang="en-AU" sz="1800" b="1" baseline="0"/>
              <a:t> </a:t>
            </a:r>
            <a:endParaRPr lang="en-AU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'Pengunjung Grafik'!$B$3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D6-4189-B864-E4565C4D14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D6-4189-B864-E4565C4D148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D6-4189-B864-E4565C4D14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D6-4189-B864-E4565C4D148B}"/>
              </c:ext>
            </c:extLst>
          </c:dPt>
          <c:dLbls>
            <c:dLbl>
              <c:idx val="0"/>
              <c:layout>
                <c:manualLayout>
                  <c:x val="0.13055555555555545"/>
                  <c:y val="5.55555555555555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1D6-4189-B864-E4565C4D148B}"/>
                </c:ext>
              </c:extLst>
            </c:dLbl>
            <c:dLbl>
              <c:idx val="1"/>
              <c:layout>
                <c:manualLayout>
                  <c:x val="3.0092592592592678E-2"/>
                  <c:y val="-0.0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1D6-4189-B864-E4565C4D148B}"/>
                </c:ext>
              </c:extLst>
            </c:dLbl>
            <c:dLbl>
              <c:idx val="3"/>
              <c:layout>
                <c:manualLayout>
                  <c:x val="-9.1666666666666716E-2"/>
                  <c:y val="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1D6-4189-B864-E4565C4D148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'Pengunjung Grafik'!$A$4:$A$7</c:f>
              <c:strCache>
                <c:ptCount val="4"/>
                <c:pt idx="0">
                  <c:v>Banten</c:v>
                </c:pt>
                <c:pt idx="1">
                  <c:v>Jawa Barat</c:v>
                </c:pt>
                <c:pt idx="2">
                  <c:v>DKI Jakarta</c:v>
                </c:pt>
                <c:pt idx="3">
                  <c:v>Lain-lain</c:v>
                </c:pt>
              </c:strCache>
            </c:strRef>
          </c:cat>
          <c:val>
            <c:numRef>
              <c:f>'Pengunjung Grafik'!$B$4:$B$7</c:f>
              <c:numCache>
                <c:formatCode>General</c:formatCode>
                <c:ptCount val="4"/>
                <c:pt idx="0">
                  <c:v>1305</c:v>
                </c:pt>
                <c:pt idx="1">
                  <c:v>32586</c:v>
                </c:pt>
                <c:pt idx="2">
                  <c:v>12215</c:v>
                </c:pt>
                <c:pt idx="3">
                  <c:v>6609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D6-4189-B864-E4565C4D1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JUMLAH</a:t>
            </a:r>
            <a:r>
              <a:rPr lang="en-US" sz="1800" b="1" baseline="0"/>
              <a:t> PASIEN PER WILAYAH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'Pengunjung Grafik'!$E$3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'Pengunjung Grafik'!$D$4:$D$15</c:f>
              <c:strCache>
                <c:ptCount val="12"/>
                <c:pt idx="0">
                  <c:v>Kabupaten Administrasi Kepulauan Seribu</c:v>
                </c:pt>
                <c:pt idx="1">
                  <c:v>Kota Administrasi Jakarta Utara </c:v>
                </c:pt>
                <c:pt idx="2">
                  <c:v>Kota Administrasi Jakarta Barat </c:v>
                </c:pt>
                <c:pt idx="3">
                  <c:v>Kota Administrasi Jakarta Pusat </c:v>
                </c:pt>
                <c:pt idx="4">
                  <c:v>Banten</c:v>
                </c:pt>
                <c:pt idx="5">
                  <c:v>Jawa Barat Lainnya</c:v>
                </c:pt>
                <c:pt idx="6">
                  <c:v>Bekasi</c:v>
                </c:pt>
                <c:pt idx="7">
                  <c:v>Kota Administrasi Jakarta Timur </c:v>
                </c:pt>
                <c:pt idx="8">
                  <c:v>Bogor</c:v>
                </c:pt>
                <c:pt idx="9">
                  <c:v>Lain-lain</c:v>
                </c:pt>
                <c:pt idx="10">
                  <c:v>Kota Administrasi Jakarta Selatan </c:v>
                </c:pt>
                <c:pt idx="11">
                  <c:v>Depok</c:v>
                </c:pt>
              </c:strCache>
            </c:strRef>
          </c:cat>
          <c:val>
            <c:numRef>
              <c:f>'Pengunjung Grafik'!$E$4:$E$15</c:f>
              <c:numCache>
                <c:formatCode>General</c:formatCode>
                <c:ptCount val="12"/>
                <c:pt idx="0">
                  <c:v>3</c:v>
                </c:pt>
                <c:pt idx="1">
                  <c:v>360</c:v>
                </c:pt>
                <c:pt idx="2">
                  <c:v>632</c:v>
                </c:pt>
                <c:pt idx="3">
                  <c:v>650</c:v>
                </c:pt>
                <c:pt idx="4">
                  <c:v>1305</c:v>
                </c:pt>
                <c:pt idx="5">
                  <c:v>1306</c:v>
                </c:pt>
                <c:pt idx="6">
                  <c:v>1308</c:v>
                </c:pt>
                <c:pt idx="7">
                  <c:v>3302</c:v>
                </c:pt>
                <c:pt idx="8">
                  <c:v>4405</c:v>
                </c:pt>
                <c:pt idx="9">
                  <c:v>6609</c:v>
                </c:pt>
                <c:pt idx="10">
                  <c:v>7268</c:v>
                </c:pt>
                <c:pt idx="11">
                  <c:v>25567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D-400A-8DF9-3F0EA111ED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2605520"/>
        <c:axId val="1812608848"/>
      </c:barChart>
      <c:catAx>
        <c:axId val="18126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608848"/>
        <c:crosses val="autoZero"/>
        <c:auto val="1"/>
        <c:lblAlgn val="ctr"/>
        <c:lblOffset val="100"/>
        <c:noMultiLvlLbl val="0"/>
      </c:catAx>
      <c:valAx>
        <c:axId val="18126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6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SEBARAN PASIEN WILAYAH JAWA BARAT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'Pengunjung Grafik'!$H$3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36-45C1-A72A-B44E53E17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36-45C1-A72A-B44E53E17E4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36-45C1-A72A-B44E53E17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36-45C1-A72A-B44E53E17E4A}"/>
              </c:ext>
            </c:extLst>
          </c:dPt>
          <c:dLbls>
            <c:dLbl>
              <c:idx val="0"/>
              <c:layout>
                <c:manualLayout>
                  <c:x val="9.4907407407407496E-2"/>
                  <c:y val="9.9750623441396506E-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42060"/>
                        <a:gd name="adj2" fmla="val 63873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1-F536-45C1-A72A-B44E53E17E4A}"/>
                </c:ext>
              </c:extLst>
            </c:dLbl>
            <c:dLbl>
              <c:idx val="1"/>
              <c:layout>
                <c:manualLayout>
                  <c:x val="8.1018518518518517E-2"/>
                  <c:y val="7.315045719035744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21013"/>
                        <a:gd name="adj2" fmla="val 62320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3-F536-45C1-A72A-B44E53E17E4A}"/>
                </c:ext>
              </c:extLst>
            </c:dLbl>
            <c:dLbl>
              <c:idx val="2"/>
              <c:layout>
                <c:manualLayout>
                  <c:x val="-0.18981481481481483"/>
                  <c:y val="-0.25602660016625117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52171"/>
                        <a:gd name="adj2" fmla="val 1923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5-F536-45C1-A72A-B44E53E17E4A}"/>
                </c:ext>
              </c:extLst>
            </c:dLbl>
            <c:dLbl>
              <c:idx val="3"/>
              <c:layout>
                <c:manualLayout>
                  <c:x val="-0.12037037037037036"/>
                  <c:y val="2.99251870324189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536-45C1-A72A-B44E53E17E4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'Pengunjung Grafik'!$G$4:$G$7</c:f>
              <c:strCache>
                <c:ptCount val="4"/>
                <c:pt idx="0">
                  <c:v>Bekasi</c:v>
                </c:pt>
                <c:pt idx="1">
                  <c:v>Bogor</c:v>
                </c:pt>
                <c:pt idx="2">
                  <c:v>Depok</c:v>
                </c:pt>
                <c:pt idx="3">
                  <c:v>Jawa Barat Lainnya</c:v>
                </c:pt>
              </c:strCache>
            </c:strRef>
          </c:cat>
          <c:val>
            <c:numRef>
              <c:f>'Pengunjung Grafik'!$H$4:$H$7</c:f>
              <c:numCache>
                <c:formatCode>General</c:formatCode>
                <c:ptCount val="4"/>
                <c:pt idx="0">
                  <c:v>1308</c:v>
                </c:pt>
                <c:pt idx="1">
                  <c:v>4405</c:v>
                </c:pt>
                <c:pt idx="2">
                  <c:v>25567</c:v>
                </c:pt>
                <c:pt idx="3">
                  <c:v>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36-45C1-A72A-B44E53E17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SEBARAN PASIEN WILAYAH DKI JAKARTA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'Pengunjung Grafik'!$K$3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34-4776-8136-4AA9782D7A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34-4776-8136-4AA9782D7A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34-4776-8136-4AA9782D7A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34-4776-8136-4AA9782D7A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34-4776-8136-4AA9782D7A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34-4776-8136-4AA9782D7AF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34-4776-8136-4AA9782D7AF6}"/>
                </c:ext>
              </c:extLst>
            </c:dLbl>
            <c:dLbl>
              <c:idx val="1"/>
              <c:layout>
                <c:manualLayout>
                  <c:x val="-0.12709418834758268"/>
                  <c:y val="0.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634-4776-8136-4AA9782D7AF6}"/>
                </c:ext>
              </c:extLst>
            </c:dLbl>
            <c:dLbl>
              <c:idx val="2"/>
              <c:layout>
                <c:manualLayout>
                  <c:x val="4.3905265065528477E-2"/>
                  <c:y val="0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8703"/>
                        <a:gd name="adj2" fmla="val 69688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5-2634-4776-8136-4AA9782D7AF6}"/>
                </c:ext>
              </c:extLst>
            </c:dLbl>
            <c:dLbl>
              <c:idx val="3"/>
              <c:layout>
                <c:manualLayout>
                  <c:x val="9.0121333555558625E-2"/>
                  <c:y val="7.666666666666666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8945"/>
                        <a:gd name="adj2" fmla="val 6480"/>
                      </a:avLst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7-2634-4776-8136-4AA9782D7AF6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9905"/>
                        <a:gd name="adj2" fmla="val 2086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634-4776-8136-4AA9782D7AF6}"/>
                </c:ext>
              </c:extLst>
            </c:dLbl>
            <c:dLbl>
              <c:idx val="5"/>
              <c:layout>
                <c:manualLayout>
                  <c:x val="3.4662051367522463E-2"/>
                  <c:y val="-4.00000000000001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634-4776-8136-4AA9782D7AF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'Pengunjung Grafik'!$J$4:$J$9</c:f>
              <c:strCache>
                <c:ptCount val="6"/>
                <c:pt idx="0">
                  <c:v>Kepulauan Seribu</c:v>
                </c:pt>
                <c:pt idx="1">
                  <c:v>Jakarta Utara </c:v>
                </c:pt>
                <c:pt idx="2">
                  <c:v>Jakarta Barat </c:v>
                </c:pt>
                <c:pt idx="3">
                  <c:v>Jakarta Pusat </c:v>
                </c:pt>
                <c:pt idx="4">
                  <c:v>Jakarta Timur </c:v>
                </c:pt>
                <c:pt idx="5">
                  <c:v>Jakarta Selatan </c:v>
                </c:pt>
              </c:strCache>
            </c:strRef>
          </c:cat>
          <c:val>
            <c:numRef>
              <c:f>'Pengunjung Grafik'!$K$4:$K$9</c:f>
              <c:numCache>
                <c:formatCode>General</c:formatCode>
                <c:ptCount val="6"/>
                <c:pt idx="0">
                  <c:v>3</c:v>
                </c:pt>
                <c:pt idx="1">
                  <c:v>360</c:v>
                </c:pt>
                <c:pt idx="2">
                  <c:v>632</c:v>
                </c:pt>
                <c:pt idx="3">
                  <c:v>650</c:v>
                </c:pt>
                <c:pt idx="4">
                  <c:v>3302</c:v>
                </c:pt>
                <c:pt idx="5">
                  <c:v>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34-4776-8136-4AA9782D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/>
              <a:t>PENJAMINAN</a:t>
            </a:r>
            <a:r>
              <a:rPr lang="en-AU" sz="1800" b="1" baseline="0"/>
              <a:t> PASIEN WILAYAH JAWA BARAT</a:t>
            </a:r>
            <a:endParaRPr lang="en-AU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'Penjamin Grafik'!$L$3</c:f>
              <c:strCache>
                <c:ptCount val="1"/>
                <c:pt idx="0">
                  <c:v>JKN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Grafik'!$K$4:$K$7</c:f>
              <c:strCache>
                <c:ptCount val="4"/>
                <c:pt idx="0">
                  <c:v>Jawa Barat Lainnya</c:v>
                </c:pt>
                <c:pt idx="1">
                  <c:v>Bekasi</c:v>
                </c:pt>
                <c:pt idx="2">
                  <c:v>Bogor</c:v>
                </c:pt>
                <c:pt idx="3">
                  <c:v>Depok</c:v>
                </c:pt>
              </c:strCache>
            </c:strRef>
          </c:cat>
          <c:val>
            <c:numRef>
              <c:f>'Penjamin Grafik'!$L$4:$L$7</c:f>
              <c:numCache>
                <c:formatCode>General</c:formatCode>
                <c:ptCount val="4"/>
                <c:pt idx="0">
                  <c:v>710</c:v>
                </c:pt>
                <c:pt idx="1">
                  <c:v>600</c:v>
                </c:pt>
                <c:pt idx="2">
                  <c:v>3354</c:v>
                </c:pt>
                <c:pt idx="3">
                  <c:v>14706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0-4D40-85E9-10D4709A5779}"/>
            </c:ext>
          </c:extLst>
        </c:ser>
        <c:ser>
          <c:idx val="1"/>
          <c:order val="1"/>
          <c:tx>
            <c:strRef>
              <c:f>'Penjamin Grafik'!$M$3</c:f>
              <c:strCache>
                <c:ptCount val="1"/>
                <c:pt idx="0">
                  <c:v>Non JKN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Grafik'!$K$4:$K$7</c:f>
              <c:strCache>
                <c:ptCount val="4"/>
                <c:pt idx="0">
                  <c:v>Jawa Barat Lainnya</c:v>
                </c:pt>
                <c:pt idx="1">
                  <c:v>Bekasi</c:v>
                </c:pt>
                <c:pt idx="2">
                  <c:v>Bogor</c:v>
                </c:pt>
                <c:pt idx="3">
                  <c:v>Depok</c:v>
                </c:pt>
              </c:strCache>
            </c:strRef>
          </c:cat>
          <c:val>
            <c:numRef>
              <c:f>'Penjamin Grafik'!$M$4:$M$7</c:f>
              <c:numCache>
                <c:formatCode>General</c:formatCode>
                <c:ptCount val="4"/>
                <c:pt idx="0">
                  <c:v>596</c:v>
                </c:pt>
                <c:pt idx="1">
                  <c:v>708</c:v>
                </c:pt>
                <c:pt idx="2">
                  <c:v>1051</c:v>
                </c:pt>
                <c:pt idx="3">
                  <c:v>11209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0-4D40-85E9-10D4709A5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333440"/>
        <c:axId val="829337600"/>
      </c:barChart>
      <c:catAx>
        <c:axId val="82933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7600"/>
        <c:crosses val="autoZero"/>
        <c:auto val="1"/>
        <c:lblAlgn val="ctr"/>
        <c:lblOffset val="100"/>
        <c:noMultiLvlLbl val="0"/>
      </c:catAx>
      <c:valAx>
        <c:axId val="82933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PENJAMINAN PASIEN WILAYAH DKI JAKARTA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'Penjamin Grafik'!$Q$3</c:f>
              <c:strCache>
                <c:ptCount val="1"/>
                <c:pt idx="0">
                  <c:v>JKN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Grafik'!$P$4:$P$9</c:f>
              <c:strCache>
                <c:ptCount val="6"/>
                <c:pt idx="0">
                  <c:v>Kepulauan Seribu</c:v>
                </c:pt>
                <c:pt idx="1">
                  <c:v>Jakarta Utara </c:v>
                </c:pt>
                <c:pt idx="2">
                  <c:v>Jakarta Barat </c:v>
                </c:pt>
                <c:pt idx="3">
                  <c:v>Jakarta Pusat </c:v>
                </c:pt>
                <c:pt idx="4">
                  <c:v>Jakarta Timur </c:v>
                </c:pt>
                <c:pt idx="5">
                  <c:v>Jakarta Selatan </c:v>
                </c:pt>
              </c:strCache>
            </c:strRef>
          </c:cat>
          <c:val>
            <c:numRef>
              <c:f>'Penjamin Grafik'!$Q$4:$Q$9</c:f>
              <c:numCache>
                <c:formatCode>General</c:formatCode>
                <c:ptCount val="6"/>
                <c:pt idx="0">
                  <c:v>3</c:v>
                </c:pt>
                <c:pt idx="1">
                  <c:v>166</c:v>
                </c:pt>
                <c:pt idx="2">
                  <c:v>305</c:v>
                </c:pt>
                <c:pt idx="3">
                  <c:v>341</c:v>
                </c:pt>
                <c:pt idx="4">
                  <c:v>1623</c:v>
                </c:pt>
                <c:pt idx="5">
                  <c:v>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F-4A1D-855E-7A2F98457F0B}"/>
            </c:ext>
          </c:extLst>
        </c:ser>
        <c:ser>
          <c:idx val="1"/>
          <c:order val="1"/>
          <c:tx>
            <c:strRef>
              <c:f>'Penjamin Grafik'!$R$3</c:f>
              <c:strCache>
                <c:ptCount val="1"/>
                <c:pt idx="0">
                  <c:v>Non JKN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Grafik'!$P$4:$P$9</c:f>
              <c:strCache>
                <c:ptCount val="6"/>
                <c:pt idx="0">
                  <c:v>Kepulauan Seribu</c:v>
                </c:pt>
                <c:pt idx="1">
                  <c:v>Jakarta Utara </c:v>
                </c:pt>
                <c:pt idx="2">
                  <c:v>Jakarta Barat </c:v>
                </c:pt>
                <c:pt idx="3">
                  <c:v>Jakarta Pusat </c:v>
                </c:pt>
                <c:pt idx="4">
                  <c:v>Jakarta Timur </c:v>
                </c:pt>
                <c:pt idx="5">
                  <c:v>Jakarta Selatan </c:v>
                </c:pt>
              </c:strCache>
            </c:strRef>
          </c:cat>
          <c:val>
            <c:numRef>
              <c:f>'Penjamin Grafik'!$R$4:$R$9</c:f>
              <c:numCache>
                <c:formatCode>General</c:formatCode>
                <c:ptCount val="6"/>
                <c:pt idx="0">
                  <c:v>0</c:v>
                </c:pt>
                <c:pt idx="1">
                  <c:v>176</c:v>
                </c:pt>
                <c:pt idx="2">
                  <c:v>290</c:v>
                </c:pt>
                <c:pt idx="3">
                  <c:v>293</c:v>
                </c:pt>
                <c:pt idx="4">
                  <c:v>1508</c:v>
                </c:pt>
                <c:pt idx="5">
                  <c:v>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F-4A1D-855E-7A2F98457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830736"/>
        <c:axId val="819814512"/>
      </c:barChart>
      <c:catAx>
        <c:axId val="81983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14512"/>
        <c:crosses val="autoZero"/>
        <c:auto val="1"/>
        <c:lblAlgn val="ctr"/>
        <c:lblOffset val="100"/>
        <c:noMultiLvlLbl val="0"/>
      </c:catAx>
      <c:valAx>
        <c:axId val="81981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3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PENJAMINAN PASIEN PER WILAYAH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'Penjamin Grafik'!$B$3</c:f>
              <c:strCache>
                <c:ptCount val="1"/>
                <c:pt idx="0">
                  <c:v>JKN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Grafik'!$A$4:$A$7</c:f>
              <c:strCache>
                <c:ptCount val="4"/>
                <c:pt idx="0">
                  <c:v>Banten</c:v>
                </c:pt>
                <c:pt idx="1">
                  <c:v>Lain-lain</c:v>
                </c:pt>
                <c:pt idx="2">
                  <c:v>DKI Jakarta</c:v>
                </c:pt>
                <c:pt idx="3">
                  <c:v>Jawa Barat</c:v>
                </c:pt>
              </c:strCache>
            </c:strRef>
          </c:cat>
          <c:val>
            <c:numRef>
              <c:f>'Penjamin Grafik'!$B$4:$B$7</c:f>
              <c:numCache>
                <c:formatCode>General</c:formatCode>
                <c:ptCount val="4"/>
                <c:pt idx="0">
                  <c:v>659</c:v>
                </c:pt>
                <c:pt idx="1">
                  <c:v>3628</c:v>
                </c:pt>
                <c:pt idx="2">
                  <c:v>7207</c:v>
                </c:pt>
                <c:pt idx="3">
                  <c:v>19370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0-46D8-B43F-7306CA234C8A}"/>
            </c:ext>
          </c:extLst>
        </c:ser>
        <c:ser>
          <c:idx val="1"/>
          <c:order val="1"/>
          <c:tx>
            <c:strRef>
              <c:f>'Penjamin Grafik'!$C$3</c:f>
              <c:strCache>
                <c:ptCount val="1"/>
                <c:pt idx="0">
                  <c:v>Non JKN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'Penjamin Grafik'!$A$4:$A$7</c:f>
              <c:strCache>
                <c:ptCount val="4"/>
                <c:pt idx="0">
                  <c:v>Banten</c:v>
                </c:pt>
                <c:pt idx="1">
                  <c:v>Lain-lain</c:v>
                </c:pt>
                <c:pt idx="2">
                  <c:v>DKI Jakarta</c:v>
                </c:pt>
                <c:pt idx="3">
                  <c:v>Jawa Barat</c:v>
                </c:pt>
              </c:strCache>
            </c:strRef>
          </c:cat>
          <c:val>
            <c:numRef>
              <c:f>'Penjamin Grafik'!$C$4:$C$7</c:f>
              <c:numCache>
                <c:formatCode>General</c:formatCode>
                <c:ptCount val="4"/>
                <c:pt idx="0">
                  <c:v>646</c:v>
                </c:pt>
                <c:pt idx="1">
                  <c:v>2981</c:v>
                </c:pt>
                <c:pt idx="2">
                  <c:v>4660</c:v>
                </c:pt>
                <c:pt idx="3">
                  <c:v>13564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0-46D8-B43F-7306CA234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030016"/>
        <c:axId val="836034176"/>
      </c:barChart>
      <c:catAx>
        <c:axId val="83603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34176"/>
        <c:crosses val="autoZero"/>
        <c:auto val="1"/>
        <c:lblAlgn val="ctr"/>
        <c:lblOffset val="100"/>
        <c:noMultiLvlLbl val="0"/>
      </c:catAx>
      <c:valAx>
        <c:axId val="836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 PENGUNJUNG PER BULAN WILAYAH JAWA BARAT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'Pengunjung Per Bulan Grafik'!$A$29</c:f>
              <c:strCache>
                <c:ptCount val="1"/>
                <c:pt idx="0">
                  <c:v>Jawa Barat Lainnya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Grafik'!$B$28:$P$28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Grafik'!$B$29:$P$29</c:f>
              <c:numCache>
                <c:formatCode>General</c:formatCode>
                <c:ptCount val="15"/>
                <c:pt idx="0">
                  <c:v>72</c:v>
                </c:pt>
                <c:pt idx="1">
                  <c:v>84</c:v>
                </c:pt>
                <c:pt idx="2">
                  <c:v>90</c:v>
                </c:pt>
                <c:pt idx="3">
                  <c:v>79</c:v>
                </c:pt>
                <c:pt idx="4">
                  <c:v>76</c:v>
                </c:pt>
                <c:pt idx="5">
                  <c:v>68</c:v>
                </c:pt>
                <c:pt idx="6">
                  <c:v>90</c:v>
                </c:pt>
                <c:pt idx="7">
                  <c:v>94</c:v>
                </c:pt>
                <c:pt idx="8">
                  <c:v>98</c:v>
                </c:pt>
                <c:pt idx="9">
                  <c:v>120</c:v>
                </c:pt>
                <c:pt idx="10">
                  <c:v>86</c:v>
                </c:pt>
                <c:pt idx="11">
                  <c:v>93</c:v>
                </c:pt>
                <c:pt idx="12">
                  <c:v>98</c:v>
                </c:pt>
                <c:pt idx="13">
                  <c:v>78</c:v>
                </c:pt>
                <c:pt idx="1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F-4CF4-873A-03A6C71BD471}"/>
            </c:ext>
          </c:extLst>
        </c:ser>
        <c:ser>
          <c:idx val="1"/>
          <c:order val="1"/>
          <c:tx>
            <c:strRef>
              <c:f>'Pengunjung Per Bulan Grafik'!$A$30</c:f>
              <c:strCache>
                <c:ptCount val="1"/>
                <c:pt idx="0">
                  <c:v>Bekasi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Grafik'!$B$28:$P$28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Grafik'!$B$30:$P$30</c:f>
              <c:numCache>
                <c:formatCode>General</c:formatCode>
                <c:ptCount val="15"/>
                <c:pt idx="0">
                  <c:v>68</c:v>
                </c:pt>
                <c:pt idx="1">
                  <c:v>82</c:v>
                </c:pt>
                <c:pt idx="2">
                  <c:v>80</c:v>
                </c:pt>
                <c:pt idx="3">
                  <c:v>124</c:v>
                </c:pt>
                <c:pt idx="4">
                  <c:v>92</c:v>
                </c:pt>
                <c:pt idx="5">
                  <c:v>82</c:v>
                </c:pt>
                <c:pt idx="6">
                  <c:v>93</c:v>
                </c:pt>
                <c:pt idx="7">
                  <c:v>61</c:v>
                </c:pt>
                <c:pt idx="8">
                  <c:v>85</c:v>
                </c:pt>
                <c:pt idx="9">
                  <c:v>125</c:v>
                </c:pt>
                <c:pt idx="10">
                  <c:v>88</c:v>
                </c:pt>
                <c:pt idx="11">
                  <c:v>99</c:v>
                </c:pt>
                <c:pt idx="12">
                  <c:v>70</c:v>
                </c:pt>
                <c:pt idx="13">
                  <c:v>70</c:v>
                </c:pt>
                <c:pt idx="14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F-4CF4-873A-03A6C71BD471}"/>
            </c:ext>
          </c:extLst>
        </c:ser>
        <c:ser>
          <c:idx val="2"/>
          <c:order val="2"/>
          <c:tx>
            <c:strRef>
              <c:f>'Pengunjung Per Bulan Grafik'!$A$31</c:f>
              <c:strCache>
                <c:ptCount val="1"/>
                <c:pt idx="0">
                  <c:v>Bogor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Grafik'!$B$28:$P$28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Grafik'!$B$31:$P$31</c:f>
              <c:numCache>
                <c:formatCode>General</c:formatCode>
                <c:ptCount val="15"/>
                <c:pt idx="0">
                  <c:v>234</c:v>
                </c:pt>
                <c:pt idx="1">
                  <c:v>255</c:v>
                </c:pt>
                <c:pt idx="2">
                  <c:v>226</c:v>
                </c:pt>
                <c:pt idx="3">
                  <c:v>251</c:v>
                </c:pt>
                <c:pt idx="4">
                  <c:v>241</c:v>
                </c:pt>
                <c:pt idx="5">
                  <c:v>225</c:v>
                </c:pt>
                <c:pt idx="6">
                  <c:v>326</c:v>
                </c:pt>
                <c:pt idx="7">
                  <c:v>276</c:v>
                </c:pt>
                <c:pt idx="8">
                  <c:v>303</c:v>
                </c:pt>
                <c:pt idx="9">
                  <c:v>391</c:v>
                </c:pt>
                <c:pt idx="10">
                  <c:v>315</c:v>
                </c:pt>
                <c:pt idx="11">
                  <c:v>383</c:v>
                </c:pt>
                <c:pt idx="12">
                  <c:v>349</c:v>
                </c:pt>
                <c:pt idx="13">
                  <c:v>296</c:v>
                </c:pt>
                <c:pt idx="14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9F-4CF4-873A-03A6C71BD471}"/>
            </c:ext>
          </c:extLst>
        </c:ser>
        <c:ser>
          <c:idx val="3"/>
          <c:order val="3"/>
          <c:tx>
            <c:strRef>
              <c:f>'Pengunjung Per Bulan Grafik'!$A$32</c:f>
              <c:strCache>
                <c:ptCount val="1"/>
                <c:pt idx="0">
                  <c:v>Depok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Grafik'!$B$28:$P$28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Grafik'!$B$32:$P$32</c:f>
              <c:numCache>
                <c:formatCode>General</c:formatCode>
                <c:ptCount val="15"/>
                <c:pt idx="0">
                  <c:v>1414</c:v>
                </c:pt>
                <c:pt idx="1">
                  <c:v>1495</c:v>
                </c:pt>
                <c:pt idx="2">
                  <c:v>1097</c:v>
                </c:pt>
                <c:pt idx="3">
                  <c:v>1231</c:v>
                </c:pt>
                <c:pt idx="4">
                  <c:v>1211</c:v>
                </c:pt>
                <c:pt idx="5">
                  <c:v>1143</c:v>
                </c:pt>
                <c:pt idx="6">
                  <c:v>6569</c:v>
                </c:pt>
                <c:pt idx="7">
                  <c:v>1512</c:v>
                </c:pt>
                <c:pt idx="8">
                  <c:v>1539</c:v>
                </c:pt>
                <c:pt idx="9">
                  <c:v>1715</c:v>
                </c:pt>
                <c:pt idx="10">
                  <c:v>1435</c:v>
                </c:pt>
                <c:pt idx="11">
                  <c:v>1531</c:v>
                </c:pt>
                <c:pt idx="12">
                  <c:v>1488</c:v>
                </c:pt>
                <c:pt idx="13">
                  <c:v>1333</c:v>
                </c:pt>
                <c:pt idx="14">
                  <c:v>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9F-4CF4-873A-03A6C71BD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352992"/>
        <c:axId val="829348000"/>
      </c:lineChart>
      <c:dateAx>
        <c:axId val="8293529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48000"/>
        <c:crosses val="autoZero"/>
        <c:auto val="1"/>
        <c:lblOffset val="100"/>
        <c:baseTimeUnit val="months"/>
      </c:dateAx>
      <c:valAx>
        <c:axId val="8293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5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 PENGUNJUNG PER BULAN WILAYAH DKI JAKARTA</a:t>
            </a:r>
            <a:endParaRPr lang="en-A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'Pengunjung Per Bulan Grafik'!$A$36</c:f>
              <c:strCache>
                <c:ptCount val="1"/>
                <c:pt idx="0">
                  <c:v>Kepulauan Seribu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Grafik'!$B$36:$P$36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8-45C0-911E-FBC43798D07C}"/>
            </c:ext>
          </c:extLst>
        </c:ser>
        <c:ser>
          <c:idx val="1"/>
          <c:order val="1"/>
          <c:tx>
            <c:strRef>
              <c:f>'Pengunjung Per Bulan Grafik'!$A$37</c:f>
              <c:strCache>
                <c:ptCount val="1"/>
                <c:pt idx="0">
                  <c:v>Jakarta Barat 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Grafik'!$B$37:$P$37</c:f>
              <c:numCache>
                <c:formatCode>General</c:formatCode>
                <c:ptCount val="15"/>
                <c:pt idx="0">
                  <c:v>30</c:v>
                </c:pt>
                <c:pt idx="1">
                  <c:v>49</c:v>
                </c:pt>
                <c:pt idx="2">
                  <c:v>46</c:v>
                </c:pt>
                <c:pt idx="3">
                  <c:v>26</c:v>
                </c:pt>
                <c:pt idx="4">
                  <c:v>32</c:v>
                </c:pt>
                <c:pt idx="5">
                  <c:v>41</c:v>
                </c:pt>
                <c:pt idx="6">
                  <c:v>36</c:v>
                </c:pt>
                <c:pt idx="7">
                  <c:v>34</c:v>
                </c:pt>
                <c:pt idx="8">
                  <c:v>35</c:v>
                </c:pt>
                <c:pt idx="9">
                  <c:v>53</c:v>
                </c:pt>
                <c:pt idx="10">
                  <c:v>47</c:v>
                </c:pt>
                <c:pt idx="11">
                  <c:v>40</c:v>
                </c:pt>
                <c:pt idx="12">
                  <c:v>46</c:v>
                </c:pt>
                <c:pt idx="13">
                  <c:v>35</c:v>
                </c:pt>
                <c:pt idx="1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8-45C0-911E-FBC43798D07C}"/>
            </c:ext>
          </c:extLst>
        </c:ser>
        <c:ser>
          <c:idx val="2"/>
          <c:order val="2"/>
          <c:tx>
            <c:strRef>
              <c:f>'Pengunjung Per Bulan Grafik'!$A$38</c:f>
              <c:strCache>
                <c:ptCount val="1"/>
                <c:pt idx="0">
                  <c:v>Jakarta Pusat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Grafik'!$B$38:$P$38</c:f>
              <c:numCache>
                <c:formatCode>General</c:formatCode>
                <c:ptCount val="15"/>
                <c:pt idx="0">
                  <c:v>36</c:v>
                </c:pt>
                <c:pt idx="1">
                  <c:v>52</c:v>
                </c:pt>
                <c:pt idx="2">
                  <c:v>46</c:v>
                </c:pt>
                <c:pt idx="3">
                  <c:v>36</c:v>
                </c:pt>
                <c:pt idx="4">
                  <c:v>30</c:v>
                </c:pt>
                <c:pt idx="5">
                  <c:v>40</c:v>
                </c:pt>
                <c:pt idx="6">
                  <c:v>40</c:v>
                </c:pt>
                <c:pt idx="7">
                  <c:v>56</c:v>
                </c:pt>
                <c:pt idx="8">
                  <c:v>27</c:v>
                </c:pt>
                <c:pt idx="9">
                  <c:v>39</c:v>
                </c:pt>
                <c:pt idx="10">
                  <c:v>46</c:v>
                </c:pt>
                <c:pt idx="11">
                  <c:v>50</c:v>
                </c:pt>
                <c:pt idx="12">
                  <c:v>50</c:v>
                </c:pt>
                <c:pt idx="13">
                  <c:v>41</c:v>
                </c:pt>
                <c:pt idx="1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8-45C0-911E-FBC43798D07C}"/>
            </c:ext>
          </c:extLst>
        </c:ser>
        <c:ser>
          <c:idx val="3"/>
          <c:order val="3"/>
          <c:tx>
            <c:strRef>
              <c:f>'Pengunjung Per Bulan Grafik'!$A$39</c:f>
              <c:strCache>
                <c:ptCount val="1"/>
                <c:pt idx="0">
                  <c:v>Jakarta Selatan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Grafik'!$B$39:$P$39</c:f>
              <c:numCache>
                <c:formatCode>General</c:formatCode>
                <c:ptCount val="15"/>
                <c:pt idx="0">
                  <c:v>469</c:v>
                </c:pt>
                <c:pt idx="1">
                  <c:v>477</c:v>
                </c:pt>
                <c:pt idx="2">
                  <c:v>418</c:v>
                </c:pt>
                <c:pt idx="3">
                  <c:v>434</c:v>
                </c:pt>
                <c:pt idx="4">
                  <c:v>412</c:v>
                </c:pt>
                <c:pt idx="5">
                  <c:v>412</c:v>
                </c:pt>
                <c:pt idx="6">
                  <c:v>505</c:v>
                </c:pt>
                <c:pt idx="7">
                  <c:v>484</c:v>
                </c:pt>
                <c:pt idx="8">
                  <c:v>526</c:v>
                </c:pt>
                <c:pt idx="9">
                  <c:v>574</c:v>
                </c:pt>
                <c:pt idx="10">
                  <c:v>445</c:v>
                </c:pt>
                <c:pt idx="11">
                  <c:v>538</c:v>
                </c:pt>
                <c:pt idx="12">
                  <c:v>535</c:v>
                </c:pt>
                <c:pt idx="13">
                  <c:v>460</c:v>
                </c:pt>
                <c:pt idx="14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8-45C0-911E-FBC43798D07C}"/>
            </c:ext>
          </c:extLst>
        </c:ser>
        <c:ser>
          <c:idx val="4"/>
          <c:order val="4"/>
          <c:tx>
            <c:strRef>
              <c:f>'Pengunjung Per Bulan Grafik'!$A$40</c:f>
              <c:strCache>
                <c:ptCount val="1"/>
                <c:pt idx="0">
                  <c:v>Jakarta Timur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Grafik'!$B$40:$P$40</c:f>
              <c:numCache>
                <c:formatCode>General</c:formatCode>
                <c:ptCount val="15"/>
                <c:pt idx="0">
                  <c:v>209</c:v>
                </c:pt>
                <c:pt idx="1">
                  <c:v>181</c:v>
                </c:pt>
                <c:pt idx="2">
                  <c:v>214</c:v>
                </c:pt>
                <c:pt idx="3">
                  <c:v>191</c:v>
                </c:pt>
                <c:pt idx="4">
                  <c:v>206</c:v>
                </c:pt>
                <c:pt idx="5">
                  <c:v>182</c:v>
                </c:pt>
                <c:pt idx="6">
                  <c:v>258</c:v>
                </c:pt>
                <c:pt idx="7">
                  <c:v>194</c:v>
                </c:pt>
                <c:pt idx="8">
                  <c:v>202</c:v>
                </c:pt>
                <c:pt idx="9">
                  <c:v>254</c:v>
                </c:pt>
                <c:pt idx="10">
                  <c:v>217</c:v>
                </c:pt>
                <c:pt idx="11">
                  <c:v>236</c:v>
                </c:pt>
                <c:pt idx="12">
                  <c:v>215</c:v>
                </c:pt>
                <c:pt idx="13">
                  <c:v>184</c:v>
                </c:pt>
                <c:pt idx="14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8-45C0-911E-FBC43798D07C}"/>
            </c:ext>
          </c:extLst>
        </c:ser>
        <c:ser>
          <c:idx val="5"/>
          <c:order val="5"/>
          <c:tx>
            <c:strRef>
              <c:f>'Pengunjung Per Bulan Grafik'!$A$41</c:f>
              <c:strCache>
                <c:ptCount val="1"/>
                <c:pt idx="0">
                  <c:v>Jakarta Utara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'Pengunjung Per Bulan Grafik'!$B$35:$P$35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'Pengunjung Per Bulan Grafik'!$B$41:$P$41</c:f>
              <c:numCache>
                <c:formatCode>General</c:formatCode>
                <c:ptCount val="15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14</c:v>
                </c:pt>
                <c:pt idx="4">
                  <c:v>19</c:v>
                </c:pt>
                <c:pt idx="5">
                  <c:v>26</c:v>
                </c:pt>
                <c:pt idx="6">
                  <c:v>28</c:v>
                </c:pt>
                <c:pt idx="7">
                  <c:v>28</c:v>
                </c:pt>
                <c:pt idx="8">
                  <c:v>27</c:v>
                </c:pt>
                <c:pt idx="9">
                  <c:v>27</c:v>
                </c:pt>
                <c:pt idx="10">
                  <c:v>34</c:v>
                </c:pt>
                <c:pt idx="11">
                  <c:v>21</c:v>
                </c:pt>
                <c:pt idx="12">
                  <c:v>20</c:v>
                </c:pt>
                <c:pt idx="13">
                  <c:v>22</c:v>
                </c:pt>
                <c:pt idx="1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88-45C0-911E-FBC43798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045408"/>
        <c:axId val="836049568"/>
      </c:lineChart>
      <c:dateAx>
        <c:axId val="836045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49568"/>
        <c:crosses val="autoZero"/>
        <c:auto val="1"/>
        <c:lblOffset val="100"/>
        <c:baseTimeUnit val="months"/>
      </c:dateAx>
      <c:valAx>
        <c:axId val="836049568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9</xdr:col>
      <xdr:colOff>0</xdr:colOff>
      <xdr:row>20</xdr:row>
      <xdr:rowOff>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600074</xdr:colOff>
      <xdr:row>0</xdr:row>
      <xdr:rowOff>0</xdr:rowOff>
    </xdr:from>
    <xdr:to>
      <xdr:col>36</xdr:col>
      <xdr:colOff>590550</xdr:colOff>
      <xdr:row>20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190499</xdr:rowOff>
    </xdr:from>
    <xdr:to>
      <xdr:col>9</xdr:col>
      <xdr:colOff>0</xdr:colOff>
      <xdr:row>40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9</xdr:col>
      <xdr:colOff>9524</xdr:colOff>
      <xdr:row>60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609599</xdr:colOff>
      <xdr:row>19</xdr:row>
      <xdr:rowOff>190499</xdr:rowOff>
    </xdr:from>
    <xdr:to>
      <xdr:col>22</xdr:col>
      <xdr:colOff>590550</xdr:colOff>
      <xdr:row>40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40</xdr:row>
      <xdr:rowOff>9525</xdr:rowOff>
    </xdr:from>
    <xdr:to>
      <xdr:col>22</xdr:col>
      <xdr:colOff>590550</xdr:colOff>
      <xdr:row>60</xdr:row>
      <xdr:rowOff>9525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609599</xdr:colOff>
      <xdr:row>0</xdr:row>
      <xdr:rowOff>0</xdr:rowOff>
    </xdr:from>
    <xdr:to>
      <xdr:col>22</xdr:col>
      <xdr:colOff>600074</xdr:colOff>
      <xdr:row>20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600075</xdr:colOff>
      <xdr:row>19</xdr:row>
      <xdr:rowOff>190499</xdr:rowOff>
    </xdr:from>
    <xdr:to>
      <xdr:col>36</xdr:col>
      <xdr:colOff>585108</xdr:colOff>
      <xdr:row>39</xdr:row>
      <xdr:rowOff>176892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581026</xdr:colOff>
      <xdr:row>40</xdr:row>
      <xdr:rowOff>0</xdr:rowOff>
    </xdr:from>
    <xdr:to>
      <xdr:col>36</xdr:col>
      <xdr:colOff>581026</xdr:colOff>
      <xdr:row>60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P67" sqref="P6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opLeftCell="A34" zoomScaleNormal="100" workbookViewId="0">
      <selection activeCell="I66" sqref="I66"/>
    </sheetView>
  </sheetViews>
  <sheetFormatPr defaultRowHeight="15" x14ac:dyDescent="0.25"/>
  <cols>
    <col min="1" max="1" width="51.5703125" style="1" bestFit="1" customWidth="1"/>
    <col min="2" max="19" width="12.42578125" style="1" customWidth="1"/>
    <col min="20" max="16384" width="9.140625" style="1"/>
  </cols>
  <sheetData>
    <row r="1" spans="1:3" s="9" customFormat="1" ht="20.25" x14ac:dyDescent="0.3">
      <c r="A1" s="9" t="s">
        <v>28</v>
      </c>
    </row>
    <row r="3" spans="1:3" s="17" customFormat="1" ht="30" customHeight="1" x14ac:dyDescent="0.25">
      <c r="A3" s="16" t="s">
        <v>13</v>
      </c>
      <c r="B3" s="16" t="s">
        <v>14</v>
      </c>
      <c r="C3" s="16" t="s">
        <v>30</v>
      </c>
    </row>
    <row r="4" spans="1:3" x14ac:dyDescent="0.25">
      <c r="A4" s="19" t="s">
        <v>3</v>
      </c>
      <c r="B4" s="6">
        <v>1305</v>
      </c>
      <c r="C4" s="8">
        <f>B4/$B$18</f>
        <v>2.4755762117044486E-2</v>
      </c>
    </row>
    <row r="5" spans="1:3" x14ac:dyDescent="0.25">
      <c r="A5" s="19" t="s">
        <v>0</v>
      </c>
      <c r="B5" s="6">
        <f>SUM(B6:B9)</f>
        <v>32934</v>
      </c>
      <c r="C5" s="8">
        <f>B5/$B$18</f>
        <v>0.62475576211704453</v>
      </c>
    </row>
    <row r="6" spans="1:3" x14ac:dyDescent="0.25">
      <c r="A6" s="10" t="s">
        <v>11</v>
      </c>
      <c r="B6" s="15">
        <v>1308</v>
      </c>
      <c r="C6" s="18">
        <f t="shared" ref="C6:C16" si="0">B6/$B$18</f>
        <v>2.4812671915014701E-2</v>
      </c>
    </row>
    <row r="7" spans="1:3" x14ac:dyDescent="0.25">
      <c r="A7" s="10" t="s">
        <v>9</v>
      </c>
      <c r="B7" s="15">
        <v>4405</v>
      </c>
      <c r="C7" s="18">
        <f t="shared" si="0"/>
        <v>8.3562553352935595E-2</v>
      </c>
    </row>
    <row r="8" spans="1:3" x14ac:dyDescent="0.25">
      <c r="A8" s="10" t="s">
        <v>5</v>
      </c>
      <c r="B8" s="15">
        <v>25915</v>
      </c>
      <c r="C8" s="18">
        <f t="shared" si="0"/>
        <v>0.49160580479939298</v>
      </c>
    </row>
    <row r="9" spans="1:3" x14ac:dyDescent="0.25">
      <c r="A9" s="10" t="s">
        <v>19</v>
      </c>
      <c r="B9" s="15">
        <v>1306</v>
      </c>
      <c r="C9" s="18">
        <f t="shared" si="0"/>
        <v>2.4774732049701223E-2</v>
      </c>
    </row>
    <row r="10" spans="1:3" x14ac:dyDescent="0.25">
      <c r="A10" s="19" t="s">
        <v>2</v>
      </c>
      <c r="B10" s="6">
        <f>SUM(B11:B16)</f>
        <v>11867</v>
      </c>
      <c r="C10" s="8">
        <f>B10/$B$18</f>
        <v>0.22511619083752252</v>
      </c>
    </row>
    <row r="11" spans="1:3" x14ac:dyDescent="0.25">
      <c r="A11" s="10" t="s">
        <v>12</v>
      </c>
      <c r="B11" s="15">
        <v>3</v>
      </c>
      <c r="C11" s="20">
        <f t="shared" si="0"/>
        <v>5.6909797970217207E-5</v>
      </c>
    </row>
    <row r="12" spans="1:3" x14ac:dyDescent="0.25">
      <c r="A12" s="10" t="s">
        <v>1</v>
      </c>
      <c r="B12" s="15">
        <v>595</v>
      </c>
      <c r="C12" s="18">
        <f t="shared" si="0"/>
        <v>1.1287109930759745E-2</v>
      </c>
    </row>
    <row r="13" spans="1:3" x14ac:dyDescent="0.25">
      <c r="A13" s="10" t="s">
        <v>8</v>
      </c>
      <c r="B13" s="15">
        <v>634</v>
      </c>
      <c r="C13" s="18">
        <f t="shared" si="0"/>
        <v>1.202693730437257E-2</v>
      </c>
    </row>
    <row r="14" spans="1:3" x14ac:dyDescent="0.25">
      <c r="A14" s="10" t="s">
        <v>4</v>
      </c>
      <c r="B14" s="15">
        <v>7162</v>
      </c>
      <c r="C14" s="18">
        <f t="shared" si="0"/>
        <v>0.1358626576875652</v>
      </c>
    </row>
    <row r="15" spans="1:3" x14ac:dyDescent="0.25">
      <c r="A15" s="10" t="s">
        <v>6</v>
      </c>
      <c r="B15" s="15">
        <v>3131</v>
      </c>
      <c r="C15" s="18">
        <f t="shared" si="0"/>
        <v>5.9394859148250025E-2</v>
      </c>
    </row>
    <row r="16" spans="1:3" x14ac:dyDescent="0.25">
      <c r="A16" s="10" t="s">
        <v>7</v>
      </c>
      <c r="B16" s="15">
        <v>342</v>
      </c>
      <c r="C16" s="18">
        <f t="shared" si="0"/>
        <v>6.4877169686047616E-3</v>
      </c>
    </row>
    <row r="17" spans="1:3" x14ac:dyDescent="0.25">
      <c r="A17" s="19" t="s">
        <v>10</v>
      </c>
      <c r="B17" s="6">
        <v>6609</v>
      </c>
      <c r="C17" s="8">
        <f>B17/$B$18</f>
        <v>0.12537228492838851</v>
      </c>
    </row>
    <row r="18" spans="1:3" x14ac:dyDescent="0.25">
      <c r="A18" s="7" t="s">
        <v>15</v>
      </c>
      <c r="B18" s="12">
        <f>B4+B5+B10+B17</f>
        <v>52715</v>
      </c>
      <c r="C18" s="13">
        <f>C4+C5+C10+C17</f>
        <v>1</v>
      </c>
    </row>
    <row r="20" spans="1:3" ht="28.5" x14ac:dyDescent="0.25">
      <c r="A20" s="21" t="s">
        <v>0</v>
      </c>
      <c r="B20" s="21" t="s">
        <v>14</v>
      </c>
      <c r="C20" s="21" t="s">
        <v>30</v>
      </c>
    </row>
    <row r="21" spans="1:3" x14ac:dyDescent="0.25">
      <c r="A21" s="4" t="s">
        <v>16</v>
      </c>
      <c r="B21" s="22">
        <v>1308</v>
      </c>
      <c r="C21" s="23">
        <f>B21/$B$25</f>
        <v>3.9715795226817271E-2</v>
      </c>
    </row>
    <row r="22" spans="1:3" x14ac:dyDescent="0.25">
      <c r="A22" s="4" t="s">
        <v>17</v>
      </c>
      <c r="B22" s="22">
        <v>4405</v>
      </c>
      <c r="C22" s="23">
        <f>B22/$B$25</f>
        <v>0.13375235319123094</v>
      </c>
    </row>
    <row r="23" spans="1:3" x14ac:dyDescent="0.25">
      <c r="A23" s="4" t="s">
        <v>18</v>
      </c>
      <c r="B23" s="22">
        <v>25915</v>
      </c>
      <c r="C23" s="23">
        <f>B23/$B$25</f>
        <v>0.78687678387077187</v>
      </c>
    </row>
    <row r="24" spans="1:3" x14ac:dyDescent="0.25">
      <c r="A24" s="4" t="s">
        <v>19</v>
      </c>
      <c r="B24" s="22">
        <v>1306</v>
      </c>
      <c r="C24" s="23">
        <f>B24/$B$25</f>
        <v>3.9655067711179937E-2</v>
      </c>
    </row>
    <row r="25" spans="1:3" x14ac:dyDescent="0.25">
      <c r="A25" s="24" t="s">
        <v>15</v>
      </c>
      <c r="B25" s="25">
        <f>SUM(B21:B24)</f>
        <v>32934</v>
      </c>
      <c r="C25" s="26">
        <f>SUM(C21:C24)</f>
        <v>1</v>
      </c>
    </row>
    <row r="27" spans="1:3" ht="28.5" x14ac:dyDescent="0.25">
      <c r="A27" s="27" t="s">
        <v>2</v>
      </c>
      <c r="B27" s="27" t="s">
        <v>14</v>
      </c>
      <c r="C27" s="27" t="s">
        <v>30</v>
      </c>
    </row>
    <row r="28" spans="1:3" x14ac:dyDescent="0.25">
      <c r="A28" s="4" t="s">
        <v>20</v>
      </c>
      <c r="B28" s="28">
        <v>3</v>
      </c>
      <c r="C28" s="29">
        <f t="shared" ref="C28:C33" si="1">B28/$B$34</f>
        <v>2.5280188758742731E-4</v>
      </c>
    </row>
    <row r="29" spans="1:3" x14ac:dyDescent="0.25">
      <c r="A29" s="4" t="s">
        <v>21</v>
      </c>
      <c r="B29" s="28">
        <v>595</v>
      </c>
      <c r="C29" s="30">
        <f t="shared" si="1"/>
        <v>5.0139041038173085E-2</v>
      </c>
    </row>
    <row r="30" spans="1:3" x14ac:dyDescent="0.25">
      <c r="A30" s="4" t="s">
        <v>22</v>
      </c>
      <c r="B30" s="28">
        <v>634</v>
      </c>
      <c r="C30" s="30">
        <f t="shared" si="1"/>
        <v>5.342546557680964E-2</v>
      </c>
    </row>
    <row r="31" spans="1:3" x14ac:dyDescent="0.25">
      <c r="A31" s="4" t="s">
        <v>23</v>
      </c>
      <c r="B31" s="28">
        <v>7162</v>
      </c>
      <c r="C31" s="30">
        <f t="shared" si="1"/>
        <v>0.60352237296705147</v>
      </c>
    </row>
    <row r="32" spans="1:3" x14ac:dyDescent="0.25">
      <c r="A32" s="4" t="s">
        <v>24</v>
      </c>
      <c r="B32" s="28">
        <v>3131</v>
      </c>
      <c r="C32" s="30">
        <f t="shared" si="1"/>
        <v>0.26384090334541166</v>
      </c>
    </row>
    <row r="33" spans="1:19" x14ac:dyDescent="0.25">
      <c r="A33" s="4" t="s">
        <v>25</v>
      </c>
      <c r="B33" s="28">
        <v>342</v>
      </c>
      <c r="C33" s="30">
        <f t="shared" si="1"/>
        <v>2.8819415184966713E-2</v>
      </c>
    </row>
    <row r="34" spans="1:19" x14ac:dyDescent="0.25">
      <c r="A34" s="32" t="s">
        <v>15</v>
      </c>
      <c r="B34" s="33">
        <f>SUM(B28:B33)</f>
        <v>11867</v>
      </c>
      <c r="C34" s="34">
        <f>SUM(C28:C33)</f>
        <v>0.99999999999999989</v>
      </c>
    </row>
    <row r="36" spans="1:19" s="9" customFormat="1" ht="20.25" x14ac:dyDescent="0.3">
      <c r="A36" s="9" t="s">
        <v>31</v>
      </c>
    </row>
    <row r="38" spans="1:19" s="37" customFormat="1" ht="30.75" customHeight="1" x14ac:dyDescent="0.25">
      <c r="A38" s="36" t="s">
        <v>13</v>
      </c>
      <c r="B38" s="35">
        <v>45658</v>
      </c>
      <c r="C38" s="35">
        <v>45689</v>
      </c>
      <c r="D38" s="35">
        <v>45717</v>
      </c>
      <c r="E38" s="35">
        <v>45748</v>
      </c>
      <c r="F38" s="35">
        <v>45778</v>
      </c>
      <c r="G38" s="35">
        <v>45809</v>
      </c>
      <c r="H38" s="35">
        <v>45839</v>
      </c>
      <c r="I38" s="35">
        <v>45870</v>
      </c>
      <c r="J38" s="35">
        <v>45901</v>
      </c>
      <c r="K38" s="35">
        <v>45931</v>
      </c>
      <c r="L38" s="35">
        <v>45962</v>
      </c>
      <c r="M38" s="35">
        <v>45992</v>
      </c>
      <c r="N38" s="41">
        <v>2025</v>
      </c>
      <c r="O38" s="35">
        <v>46023</v>
      </c>
      <c r="P38" s="35">
        <v>46054</v>
      </c>
      <c r="Q38" s="35">
        <v>46082</v>
      </c>
      <c r="R38" s="41">
        <v>2026</v>
      </c>
      <c r="S38" s="40" t="s">
        <v>15</v>
      </c>
    </row>
    <row r="39" spans="1:19" x14ac:dyDescent="0.25">
      <c r="A39" s="19" t="s">
        <v>3</v>
      </c>
      <c r="B39" s="6">
        <v>62</v>
      </c>
      <c r="C39" s="6">
        <v>105</v>
      </c>
      <c r="D39" s="6">
        <v>71</v>
      </c>
      <c r="E39" s="6">
        <v>75</v>
      </c>
      <c r="F39" s="6">
        <v>85</v>
      </c>
      <c r="G39" s="6">
        <v>100</v>
      </c>
      <c r="H39" s="6">
        <v>88</v>
      </c>
      <c r="I39" s="6">
        <v>82</v>
      </c>
      <c r="J39" s="6">
        <v>95</v>
      </c>
      <c r="K39" s="6">
        <v>93</v>
      </c>
      <c r="L39" s="6">
        <v>80</v>
      </c>
      <c r="M39" s="6">
        <v>118</v>
      </c>
      <c r="N39" s="43">
        <f>SUM(B39:M39)</f>
        <v>1054</v>
      </c>
      <c r="O39" s="6">
        <v>80</v>
      </c>
      <c r="P39" s="6">
        <v>76</v>
      </c>
      <c r="Q39" s="6">
        <v>95</v>
      </c>
      <c r="R39" s="43">
        <f>SUM(O39:Q39)</f>
        <v>251</v>
      </c>
      <c r="S39" s="38">
        <f>N39+R39</f>
        <v>1305</v>
      </c>
    </row>
    <row r="40" spans="1:19" x14ac:dyDescent="0.25">
      <c r="A40" s="19" t="s">
        <v>0</v>
      </c>
      <c r="B40" s="6">
        <f t="shared" ref="B40:Q40" si="2">SUM(B41:B44)</f>
        <v>1788</v>
      </c>
      <c r="C40" s="6">
        <f t="shared" si="2"/>
        <v>1916</v>
      </c>
      <c r="D40" s="6">
        <f t="shared" si="2"/>
        <v>1493</v>
      </c>
      <c r="E40" s="6">
        <f t="shared" si="2"/>
        <v>1685</v>
      </c>
      <c r="F40" s="6">
        <f t="shared" si="2"/>
        <v>1620</v>
      </c>
      <c r="G40" s="6">
        <f t="shared" si="2"/>
        <v>1518</v>
      </c>
      <c r="H40" s="6">
        <f t="shared" si="2"/>
        <v>7078</v>
      </c>
      <c r="I40" s="6">
        <f t="shared" si="2"/>
        <v>1943</v>
      </c>
      <c r="J40" s="6">
        <f t="shared" si="2"/>
        <v>2025</v>
      </c>
      <c r="K40" s="6">
        <f t="shared" si="2"/>
        <v>2351</v>
      </c>
      <c r="L40" s="6">
        <f t="shared" si="2"/>
        <v>1924</v>
      </c>
      <c r="M40" s="6">
        <f t="shared" si="2"/>
        <v>2106</v>
      </c>
      <c r="N40" s="43">
        <f t="shared" ref="N40:N52" si="3">SUM(B40:M40)</f>
        <v>27447</v>
      </c>
      <c r="O40" s="6">
        <f t="shared" si="2"/>
        <v>2005</v>
      </c>
      <c r="P40" s="6">
        <f t="shared" si="2"/>
        <v>1777</v>
      </c>
      <c r="Q40" s="6">
        <f t="shared" si="2"/>
        <v>1705</v>
      </c>
      <c r="R40" s="43">
        <f t="shared" ref="R40:R53" si="4">SUM(O40:Q40)</f>
        <v>5487</v>
      </c>
      <c r="S40" s="38">
        <f t="shared" ref="S40:S52" si="5">N40+R40</f>
        <v>32934</v>
      </c>
    </row>
    <row r="41" spans="1:19" x14ac:dyDescent="0.25">
      <c r="A41" s="10" t="s">
        <v>11</v>
      </c>
      <c r="B41" s="10">
        <v>68</v>
      </c>
      <c r="C41" s="10">
        <v>82</v>
      </c>
      <c r="D41" s="10">
        <v>80</v>
      </c>
      <c r="E41" s="10">
        <v>124</v>
      </c>
      <c r="F41" s="10">
        <v>92</v>
      </c>
      <c r="G41" s="10">
        <v>82</v>
      </c>
      <c r="H41" s="10">
        <v>93</v>
      </c>
      <c r="I41" s="10">
        <v>61</v>
      </c>
      <c r="J41" s="10">
        <v>85</v>
      </c>
      <c r="K41" s="10">
        <v>125</v>
      </c>
      <c r="L41" s="10">
        <v>88</v>
      </c>
      <c r="M41" s="10">
        <v>99</v>
      </c>
      <c r="N41" s="44">
        <f t="shared" si="3"/>
        <v>1079</v>
      </c>
      <c r="O41" s="10">
        <v>70</v>
      </c>
      <c r="P41" s="10">
        <v>70</v>
      </c>
      <c r="Q41" s="10">
        <v>89</v>
      </c>
      <c r="R41" s="44">
        <f t="shared" si="4"/>
        <v>229</v>
      </c>
      <c r="S41" s="42">
        <f t="shared" si="5"/>
        <v>1308</v>
      </c>
    </row>
    <row r="42" spans="1:19" x14ac:dyDescent="0.25">
      <c r="A42" s="10" t="s">
        <v>9</v>
      </c>
      <c r="B42" s="10">
        <v>234</v>
      </c>
      <c r="C42" s="10">
        <v>255</v>
      </c>
      <c r="D42" s="10">
        <v>226</v>
      </c>
      <c r="E42" s="10">
        <v>251</v>
      </c>
      <c r="F42" s="10">
        <v>241</v>
      </c>
      <c r="G42" s="10">
        <v>225</v>
      </c>
      <c r="H42" s="10">
        <v>326</v>
      </c>
      <c r="I42" s="10">
        <v>276</v>
      </c>
      <c r="J42" s="10">
        <v>303</v>
      </c>
      <c r="K42" s="10">
        <v>391</v>
      </c>
      <c r="L42" s="10">
        <v>315</v>
      </c>
      <c r="M42" s="10">
        <v>383</v>
      </c>
      <c r="N42" s="44">
        <f t="shared" si="3"/>
        <v>3426</v>
      </c>
      <c r="O42" s="10">
        <v>349</v>
      </c>
      <c r="P42" s="10">
        <v>296</v>
      </c>
      <c r="Q42" s="10">
        <v>334</v>
      </c>
      <c r="R42" s="44">
        <f t="shared" si="4"/>
        <v>979</v>
      </c>
      <c r="S42" s="42">
        <f t="shared" si="5"/>
        <v>4405</v>
      </c>
    </row>
    <row r="43" spans="1:19" x14ac:dyDescent="0.25">
      <c r="A43" s="10" t="s">
        <v>5</v>
      </c>
      <c r="B43" s="10">
        <v>1414</v>
      </c>
      <c r="C43" s="10">
        <v>1495</v>
      </c>
      <c r="D43" s="10">
        <v>1097</v>
      </c>
      <c r="E43" s="10">
        <v>1231</v>
      </c>
      <c r="F43" s="10">
        <v>1211</v>
      </c>
      <c r="G43" s="10">
        <v>1143</v>
      </c>
      <c r="H43" s="10">
        <v>6569</v>
      </c>
      <c r="I43" s="10">
        <v>1512</v>
      </c>
      <c r="J43" s="10">
        <v>1539</v>
      </c>
      <c r="K43" s="10">
        <v>1715</v>
      </c>
      <c r="L43" s="10">
        <v>1435</v>
      </c>
      <c r="M43" s="10">
        <v>1531</v>
      </c>
      <c r="N43" s="44">
        <f t="shared" si="3"/>
        <v>21892</v>
      </c>
      <c r="O43" s="10">
        <v>1488</v>
      </c>
      <c r="P43" s="10">
        <v>1333</v>
      </c>
      <c r="Q43" s="10">
        <v>1202</v>
      </c>
      <c r="R43" s="44">
        <f t="shared" si="4"/>
        <v>4023</v>
      </c>
      <c r="S43" s="42">
        <f t="shared" si="5"/>
        <v>25915</v>
      </c>
    </row>
    <row r="44" spans="1:19" x14ac:dyDescent="0.25">
      <c r="A44" s="10" t="s">
        <v>19</v>
      </c>
      <c r="B44" s="10">
        <v>72</v>
      </c>
      <c r="C44" s="10">
        <v>84</v>
      </c>
      <c r="D44" s="10">
        <v>90</v>
      </c>
      <c r="E44" s="10">
        <v>79</v>
      </c>
      <c r="F44" s="10">
        <v>76</v>
      </c>
      <c r="G44" s="10">
        <v>68</v>
      </c>
      <c r="H44" s="10">
        <v>90</v>
      </c>
      <c r="I44" s="10">
        <v>94</v>
      </c>
      <c r="J44" s="10">
        <v>98</v>
      </c>
      <c r="K44" s="10">
        <v>120</v>
      </c>
      <c r="L44" s="10">
        <v>86</v>
      </c>
      <c r="M44" s="10">
        <v>93</v>
      </c>
      <c r="N44" s="44">
        <f t="shared" si="3"/>
        <v>1050</v>
      </c>
      <c r="O44" s="10">
        <v>98</v>
      </c>
      <c r="P44" s="10">
        <v>78</v>
      </c>
      <c r="Q44" s="10">
        <v>80</v>
      </c>
      <c r="R44" s="44">
        <f t="shared" si="4"/>
        <v>256</v>
      </c>
      <c r="S44" s="42">
        <f t="shared" si="5"/>
        <v>1306</v>
      </c>
    </row>
    <row r="45" spans="1:19" x14ac:dyDescent="0.25">
      <c r="A45" s="19" t="s">
        <v>2</v>
      </c>
      <c r="B45" s="6">
        <f t="shared" ref="B45:Q45" si="6">SUM(B46:B51)</f>
        <v>761</v>
      </c>
      <c r="C45" s="6">
        <f t="shared" si="6"/>
        <v>780</v>
      </c>
      <c r="D45" s="6">
        <f t="shared" si="6"/>
        <v>743</v>
      </c>
      <c r="E45" s="6">
        <f t="shared" si="6"/>
        <v>702</v>
      </c>
      <c r="F45" s="6">
        <f t="shared" si="6"/>
        <v>699</v>
      </c>
      <c r="G45" s="6">
        <f t="shared" si="6"/>
        <v>701</v>
      </c>
      <c r="H45" s="6">
        <f t="shared" si="6"/>
        <v>867</v>
      </c>
      <c r="I45" s="6">
        <f t="shared" si="6"/>
        <v>796</v>
      </c>
      <c r="J45" s="6">
        <f t="shared" si="6"/>
        <v>818</v>
      </c>
      <c r="K45" s="6">
        <f t="shared" si="6"/>
        <v>948</v>
      </c>
      <c r="L45" s="6">
        <f t="shared" si="6"/>
        <v>789</v>
      </c>
      <c r="M45" s="6">
        <f t="shared" si="6"/>
        <v>885</v>
      </c>
      <c r="N45" s="43">
        <f t="shared" si="3"/>
        <v>9489</v>
      </c>
      <c r="O45" s="6">
        <f t="shared" si="6"/>
        <v>866</v>
      </c>
      <c r="P45" s="6">
        <f t="shared" si="6"/>
        <v>742</v>
      </c>
      <c r="Q45" s="6">
        <f t="shared" si="6"/>
        <v>770</v>
      </c>
      <c r="R45" s="43">
        <f t="shared" si="4"/>
        <v>2378</v>
      </c>
      <c r="S45" s="38">
        <f t="shared" si="5"/>
        <v>11867</v>
      </c>
    </row>
    <row r="46" spans="1:19" x14ac:dyDescent="0.25">
      <c r="A46" s="10" t="s">
        <v>12</v>
      </c>
      <c r="B46" s="10">
        <v>0</v>
      </c>
      <c r="C46" s="10">
        <v>0</v>
      </c>
      <c r="D46" s="10">
        <v>0</v>
      </c>
      <c r="E46" s="10">
        <v>1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1</v>
      </c>
      <c r="L46" s="10">
        <v>0</v>
      </c>
      <c r="M46" s="10">
        <v>0</v>
      </c>
      <c r="N46" s="44">
        <f t="shared" si="3"/>
        <v>3</v>
      </c>
      <c r="O46" s="10">
        <v>0</v>
      </c>
      <c r="P46" s="10">
        <v>0</v>
      </c>
      <c r="Q46" s="10">
        <v>0</v>
      </c>
      <c r="R46" s="44">
        <f t="shared" si="4"/>
        <v>0</v>
      </c>
      <c r="S46" s="42">
        <f t="shared" si="5"/>
        <v>3</v>
      </c>
    </row>
    <row r="47" spans="1:19" x14ac:dyDescent="0.25">
      <c r="A47" s="10" t="s">
        <v>1</v>
      </c>
      <c r="B47" s="10">
        <v>30</v>
      </c>
      <c r="C47" s="10">
        <v>49</v>
      </c>
      <c r="D47" s="10">
        <v>46</v>
      </c>
      <c r="E47" s="10">
        <v>26</v>
      </c>
      <c r="F47" s="10">
        <v>32</v>
      </c>
      <c r="G47" s="10">
        <v>41</v>
      </c>
      <c r="H47" s="10">
        <v>36</v>
      </c>
      <c r="I47" s="10">
        <v>34</v>
      </c>
      <c r="J47" s="10">
        <v>35</v>
      </c>
      <c r="K47" s="10">
        <v>53</v>
      </c>
      <c r="L47" s="10">
        <v>47</v>
      </c>
      <c r="M47" s="10">
        <v>40</v>
      </c>
      <c r="N47" s="44">
        <f t="shared" si="3"/>
        <v>469</v>
      </c>
      <c r="O47" s="10">
        <v>46</v>
      </c>
      <c r="P47" s="10">
        <v>35</v>
      </c>
      <c r="Q47" s="10">
        <v>45</v>
      </c>
      <c r="R47" s="44">
        <f t="shared" si="4"/>
        <v>126</v>
      </c>
      <c r="S47" s="42">
        <f t="shared" si="5"/>
        <v>595</v>
      </c>
    </row>
    <row r="48" spans="1:19" x14ac:dyDescent="0.25">
      <c r="A48" s="10" t="s">
        <v>8</v>
      </c>
      <c r="B48" s="10">
        <v>36</v>
      </c>
      <c r="C48" s="10">
        <v>52</v>
      </c>
      <c r="D48" s="10">
        <v>46</v>
      </c>
      <c r="E48" s="10">
        <v>36</v>
      </c>
      <c r="F48" s="10">
        <v>30</v>
      </c>
      <c r="G48" s="10">
        <v>40</v>
      </c>
      <c r="H48" s="10">
        <v>40</v>
      </c>
      <c r="I48" s="10">
        <v>56</v>
      </c>
      <c r="J48" s="10">
        <v>27</v>
      </c>
      <c r="K48" s="10">
        <v>39</v>
      </c>
      <c r="L48" s="10">
        <v>46</v>
      </c>
      <c r="M48" s="10">
        <v>50</v>
      </c>
      <c r="N48" s="44">
        <f t="shared" si="3"/>
        <v>498</v>
      </c>
      <c r="O48" s="10">
        <v>50</v>
      </c>
      <c r="P48" s="10">
        <v>41</v>
      </c>
      <c r="Q48" s="10">
        <v>45</v>
      </c>
      <c r="R48" s="44">
        <f t="shared" si="4"/>
        <v>136</v>
      </c>
      <c r="S48" s="42">
        <f t="shared" si="5"/>
        <v>634</v>
      </c>
    </row>
    <row r="49" spans="1:19" x14ac:dyDescent="0.25">
      <c r="A49" s="10" t="s">
        <v>4</v>
      </c>
      <c r="B49" s="10">
        <v>469</v>
      </c>
      <c r="C49" s="10">
        <v>477</v>
      </c>
      <c r="D49" s="10">
        <v>418</v>
      </c>
      <c r="E49" s="10">
        <v>434</v>
      </c>
      <c r="F49" s="10">
        <v>412</v>
      </c>
      <c r="G49" s="10">
        <v>412</v>
      </c>
      <c r="H49" s="10">
        <v>505</v>
      </c>
      <c r="I49" s="10">
        <v>484</v>
      </c>
      <c r="J49" s="10">
        <v>526</v>
      </c>
      <c r="K49" s="10">
        <v>574</v>
      </c>
      <c r="L49" s="10">
        <v>445</v>
      </c>
      <c r="M49" s="10">
        <v>538</v>
      </c>
      <c r="N49" s="44">
        <f t="shared" si="3"/>
        <v>5694</v>
      </c>
      <c r="O49" s="10">
        <v>535</v>
      </c>
      <c r="P49" s="10">
        <v>460</v>
      </c>
      <c r="Q49" s="10">
        <v>473</v>
      </c>
      <c r="R49" s="44">
        <f t="shared" si="4"/>
        <v>1468</v>
      </c>
      <c r="S49" s="42">
        <f t="shared" si="5"/>
        <v>7162</v>
      </c>
    </row>
    <row r="50" spans="1:19" x14ac:dyDescent="0.25">
      <c r="A50" s="10" t="s">
        <v>6</v>
      </c>
      <c r="B50" s="10">
        <v>209</v>
      </c>
      <c r="C50" s="10">
        <v>181</v>
      </c>
      <c r="D50" s="10">
        <v>214</v>
      </c>
      <c r="E50" s="10">
        <v>191</v>
      </c>
      <c r="F50" s="10">
        <v>206</v>
      </c>
      <c r="G50" s="10">
        <v>182</v>
      </c>
      <c r="H50" s="10">
        <v>258</v>
      </c>
      <c r="I50" s="10">
        <v>194</v>
      </c>
      <c r="J50" s="10">
        <v>202</v>
      </c>
      <c r="K50" s="10">
        <v>254</v>
      </c>
      <c r="L50" s="10">
        <v>217</v>
      </c>
      <c r="M50" s="10">
        <v>236</v>
      </c>
      <c r="N50" s="44">
        <f t="shared" si="3"/>
        <v>2544</v>
      </c>
      <c r="O50" s="10">
        <v>215</v>
      </c>
      <c r="P50" s="10">
        <v>184</v>
      </c>
      <c r="Q50" s="10">
        <v>188</v>
      </c>
      <c r="R50" s="44">
        <f t="shared" si="4"/>
        <v>587</v>
      </c>
      <c r="S50" s="42">
        <f t="shared" si="5"/>
        <v>3131</v>
      </c>
    </row>
    <row r="51" spans="1:19" x14ac:dyDescent="0.25">
      <c r="A51" s="10" t="s">
        <v>7</v>
      </c>
      <c r="B51" s="10">
        <v>17</v>
      </c>
      <c r="C51" s="10">
        <v>21</v>
      </c>
      <c r="D51" s="10">
        <v>19</v>
      </c>
      <c r="E51" s="10">
        <v>14</v>
      </c>
      <c r="F51" s="10">
        <v>19</v>
      </c>
      <c r="G51" s="10">
        <v>26</v>
      </c>
      <c r="H51" s="10">
        <v>28</v>
      </c>
      <c r="I51" s="10">
        <v>28</v>
      </c>
      <c r="J51" s="10">
        <v>27</v>
      </c>
      <c r="K51" s="10">
        <v>27</v>
      </c>
      <c r="L51" s="10">
        <v>34</v>
      </c>
      <c r="M51" s="10">
        <v>21</v>
      </c>
      <c r="N51" s="44">
        <f t="shared" si="3"/>
        <v>281</v>
      </c>
      <c r="O51" s="10">
        <v>20</v>
      </c>
      <c r="P51" s="10">
        <v>22</v>
      </c>
      <c r="Q51" s="10">
        <v>19</v>
      </c>
      <c r="R51" s="44">
        <f t="shared" si="4"/>
        <v>61</v>
      </c>
      <c r="S51" s="42">
        <f t="shared" si="5"/>
        <v>342</v>
      </c>
    </row>
    <row r="52" spans="1:19" x14ac:dyDescent="0.25">
      <c r="A52" s="19" t="s">
        <v>10</v>
      </c>
      <c r="B52" s="6">
        <v>283</v>
      </c>
      <c r="C52" s="6">
        <v>355</v>
      </c>
      <c r="D52" s="6">
        <v>293</v>
      </c>
      <c r="E52" s="6">
        <v>249</v>
      </c>
      <c r="F52" s="6">
        <v>377</v>
      </c>
      <c r="G52" s="6">
        <v>657</v>
      </c>
      <c r="H52" s="6">
        <v>530</v>
      </c>
      <c r="I52" s="6">
        <v>556</v>
      </c>
      <c r="J52" s="6">
        <v>500</v>
      </c>
      <c r="K52" s="6">
        <v>788</v>
      </c>
      <c r="L52" s="6">
        <v>405</v>
      </c>
      <c r="M52" s="6">
        <v>478</v>
      </c>
      <c r="N52" s="43">
        <f t="shared" si="3"/>
        <v>5471</v>
      </c>
      <c r="O52" s="6">
        <v>361</v>
      </c>
      <c r="P52" s="6">
        <v>386</v>
      </c>
      <c r="Q52" s="6">
        <v>391</v>
      </c>
      <c r="R52" s="43">
        <f t="shared" si="4"/>
        <v>1138</v>
      </c>
      <c r="S52" s="38">
        <f t="shared" si="5"/>
        <v>6609</v>
      </c>
    </row>
    <row r="53" spans="1:19" x14ac:dyDescent="0.25">
      <c r="A53" s="7" t="s">
        <v>15</v>
      </c>
      <c r="B53" s="12">
        <f t="shared" ref="B53:Q53" si="7">B39+B40+B45+B52</f>
        <v>2894</v>
      </c>
      <c r="C53" s="12">
        <f t="shared" si="7"/>
        <v>3156</v>
      </c>
      <c r="D53" s="12">
        <f t="shared" si="7"/>
        <v>2600</v>
      </c>
      <c r="E53" s="12">
        <f t="shared" si="7"/>
        <v>2711</v>
      </c>
      <c r="F53" s="12">
        <f t="shared" si="7"/>
        <v>2781</v>
      </c>
      <c r="G53" s="12">
        <f t="shared" si="7"/>
        <v>2976</v>
      </c>
      <c r="H53" s="12">
        <f t="shared" si="7"/>
        <v>8563</v>
      </c>
      <c r="I53" s="12">
        <f t="shared" si="7"/>
        <v>3377</v>
      </c>
      <c r="J53" s="12">
        <f t="shared" si="7"/>
        <v>3438</v>
      </c>
      <c r="K53" s="12">
        <f t="shared" si="7"/>
        <v>4180</v>
      </c>
      <c r="L53" s="12">
        <f t="shared" si="7"/>
        <v>3198</v>
      </c>
      <c r="M53" s="12">
        <f t="shared" si="7"/>
        <v>3587</v>
      </c>
      <c r="N53" s="39">
        <f>N39+N40+N45+N52</f>
        <v>43461</v>
      </c>
      <c r="O53" s="12">
        <f t="shared" si="7"/>
        <v>3312</v>
      </c>
      <c r="P53" s="12">
        <f t="shared" si="7"/>
        <v>2981</v>
      </c>
      <c r="Q53" s="12">
        <f t="shared" si="7"/>
        <v>2961</v>
      </c>
      <c r="R53" s="39">
        <f t="shared" si="4"/>
        <v>9254</v>
      </c>
      <c r="S53" s="31">
        <f>S39+S40+S45+S52</f>
        <v>52715</v>
      </c>
    </row>
    <row r="55" spans="1:19" s="9" customFormat="1" ht="20.25" x14ac:dyDescent="0.3">
      <c r="A55" s="9" t="s">
        <v>32</v>
      </c>
    </row>
    <row r="57" spans="1:19" ht="28.5" x14ac:dyDescent="0.25">
      <c r="A57" s="16" t="s">
        <v>13</v>
      </c>
      <c r="B57" s="16" t="s">
        <v>26</v>
      </c>
      <c r="C57" s="45" t="s">
        <v>30</v>
      </c>
      <c r="D57" s="16" t="s">
        <v>27</v>
      </c>
      <c r="E57" s="45" t="s">
        <v>30</v>
      </c>
    </row>
    <row r="58" spans="1:19" x14ac:dyDescent="0.25">
      <c r="A58" s="19" t="s">
        <v>3</v>
      </c>
      <c r="B58" s="6">
        <v>659</v>
      </c>
      <c r="C58" s="46">
        <f>B58/$B$72</f>
        <v>2.1351736651114568E-2</v>
      </c>
      <c r="D58" s="6">
        <v>646</v>
      </c>
      <c r="E58" s="46">
        <f>D58/$D$72</f>
        <v>2.9563864354034141E-2</v>
      </c>
    </row>
    <row r="59" spans="1:19" x14ac:dyDescent="0.25">
      <c r="A59" s="19" t="s">
        <v>0</v>
      </c>
      <c r="B59" s="6">
        <f>SUM(B60:B63)</f>
        <v>19370</v>
      </c>
      <c r="C59" s="46">
        <f>B59/$B$72</f>
        <v>0.62759201658890618</v>
      </c>
      <c r="D59" s="6">
        <f>SUM(D60:D63)</f>
        <v>13564</v>
      </c>
      <c r="E59" s="46">
        <f t="shared" ref="E59:E71" si="8">D59/$D$72</f>
        <v>0.62074962244290877</v>
      </c>
    </row>
    <row r="60" spans="1:19" x14ac:dyDescent="0.25">
      <c r="A60" s="10" t="s">
        <v>11</v>
      </c>
      <c r="B60" s="10">
        <v>600</v>
      </c>
      <c r="C60" s="8">
        <f t="shared" ref="C60:C71" si="9">B60/$B$72</f>
        <v>1.9440124416796267E-2</v>
      </c>
      <c r="D60" s="10">
        <v>708</v>
      </c>
      <c r="E60" s="8">
        <f t="shared" si="8"/>
        <v>3.2401263100086952E-2</v>
      </c>
    </row>
    <row r="61" spans="1:19" x14ac:dyDescent="0.25">
      <c r="A61" s="10" t="s">
        <v>9</v>
      </c>
      <c r="B61" s="10">
        <v>3354</v>
      </c>
      <c r="C61" s="8">
        <f t="shared" si="9"/>
        <v>0.10867029548989114</v>
      </c>
      <c r="D61" s="10">
        <v>1051</v>
      </c>
      <c r="E61" s="8">
        <f t="shared" si="8"/>
        <v>4.8098485195185572E-2</v>
      </c>
    </row>
    <row r="62" spans="1:19" x14ac:dyDescent="0.25">
      <c r="A62" s="10" t="s">
        <v>5</v>
      </c>
      <c r="B62" s="10">
        <v>14706</v>
      </c>
      <c r="C62" s="8">
        <f t="shared" si="9"/>
        <v>0.47647744945567649</v>
      </c>
      <c r="D62" s="10">
        <v>11209</v>
      </c>
      <c r="E62" s="8">
        <f t="shared" si="8"/>
        <v>0.51297423458880598</v>
      </c>
    </row>
    <row r="63" spans="1:19" x14ac:dyDescent="0.25">
      <c r="A63" s="10" t="s">
        <v>19</v>
      </c>
      <c r="B63" s="10">
        <v>710</v>
      </c>
      <c r="C63" s="8">
        <f t="shared" si="9"/>
        <v>2.3004147226542249E-2</v>
      </c>
      <c r="D63" s="10">
        <v>596</v>
      </c>
      <c r="E63" s="8">
        <f t="shared" si="8"/>
        <v>2.7275639558830261E-2</v>
      </c>
    </row>
    <row r="64" spans="1:19" x14ac:dyDescent="0.25">
      <c r="A64" s="19" t="s">
        <v>2</v>
      </c>
      <c r="B64" s="6">
        <f>SUM(B65:B70)</f>
        <v>7207</v>
      </c>
      <c r="C64" s="46">
        <f t="shared" si="9"/>
        <v>0.23350829445308449</v>
      </c>
      <c r="D64" s="6">
        <f>SUM(D65:D70)</f>
        <v>4660</v>
      </c>
      <c r="E64" s="46">
        <f t="shared" si="8"/>
        <v>0.2132625509130017</v>
      </c>
    </row>
    <row r="65" spans="1:5" x14ac:dyDescent="0.25">
      <c r="A65" s="10" t="s">
        <v>12</v>
      </c>
      <c r="B65" s="10">
        <v>3</v>
      </c>
      <c r="C65" s="8">
        <f t="shared" si="9"/>
        <v>9.7200622083981337E-5</v>
      </c>
      <c r="D65" s="10">
        <v>0</v>
      </c>
      <c r="E65" s="8">
        <f t="shared" si="8"/>
        <v>0</v>
      </c>
    </row>
    <row r="66" spans="1:5" x14ac:dyDescent="0.25">
      <c r="A66" s="10" t="s">
        <v>1</v>
      </c>
      <c r="B66" s="10">
        <v>305</v>
      </c>
      <c r="C66" s="8">
        <f t="shared" si="9"/>
        <v>9.8820632452047696E-3</v>
      </c>
      <c r="D66" s="10">
        <v>290</v>
      </c>
      <c r="E66" s="8">
        <f t="shared" si="8"/>
        <v>1.3271703812182508E-2</v>
      </c>
    </row>
    <row r="67" spans="1:5" x14ac:dyDescent="0.25">
      <c r="A67" s="10" t="s">
        <v>8</v>
      </c>
      <c r="B67" s="10">
        <v>341</v>
      </c>
      <c r="C67" s="8">
        <f t="shared" si="9"/>
        <v>1.1048470710212544E-2</v>
      </c>
      <c r="D67" s="10">
        <v>293</v>
      </c>
      <c r="E67" s="8">
        <f t="shared" si="8"/>
        <v>1.3408997299894742E-2</v>
      </c>
    </row>
    <row r="68" spans="1:5" x14ac:dyDescent="0.25">
      <c r="A68" s="10" t="s">
        <v>4</v>
      </c>
      <c r="B68" s="10">
        <v>4769</v>
      </c>
      <c r="C68" s="8">
        <f t="shared" si="9"/>
        <v>0.15451658890616901</v>
      </c>
      <c r="D68" s="10">
        <v>2393</v>
      </c>
      <c r="E68" s="8">
        <f t="shared" si="8"/>
        <v>0.10951443869845774</v>
      </c>
    </row>
    <row r="69" spans="1:5" x14ac:dyDescent="0.25">
      <c r="A69" s="10" t="s">
        <v>6</v>
      </c>
      <c r="B69" s="10">
        <v>1623</v>
      </c>
      <c r="C69" s="8">
        <f t="shared" si="9"/>
        <v>5.2585536547433906E-2</v>
      </c>
      <c r="D69" s="10">
        <v>1508</v>
      </c>
      <c r="E69" s="8">
        <f t="shared" si="8"/>
        <v>6.9012859823349051E-2</v>
      </c>
    </row>
    <row r="70" spans="1:5" x14ac:dyDescent="0.25">
      <c r="A70" s="10" t="s">
        <v>7</v>
      </c>
      <c r="B70" s="10">
        <v>166</v>
      </c>
      <c r="C70" s="8">
        <f t="shared" si="9"/>
        <v>5.378434421980301E-3</v>
      </c>
      <c r="D70" s="10">
        <v>176</v>
      </c>
      <c r="E70" s="8">
        <f t="shared" si="8"/>
        <v>8.0545512791176613E-3</v>
      </c>
    </row>
    <row r="71" spans="1:5" x14ac:dyDescent="0.25">
      <c r="A71" s="19" t="s">
        <v>10</v>
      </c>
      <c r="B71" s="6">
        <v>3628</v>
      </c>
      <c r="C71" s="46">
        <f t="shared" si="9"/>
        <v>0.11754795230689477</v>
      </c>
      <c r="D71" s="6">
        <v>2981</v>
      </c>
      <c r="E71" s="46">
        <f t="shared" si="8"/>
        <v>0.13642396229005538</v>
      </c>
    </row>
    <row r="72" spans="1:5" x14ac:dyDescent="0.25">
      <c r="A72" s="47" t="s">
        <v>15</v>
      </c>
      <c r="B72" s="39">
        <f>B58+B59+B64+B71</f>
        <v>30864</v>
      </c>
      <c r="C72" s="48">
        <f>B72/(B72+D72)</f>
        <v>0.58548800151759461</v>
      </c>
      <c r="D72" s="39">
        <f>D58+D59+D64+D71</f>
        <v>21851</v>
      </c>
      <c r="E72" s="48">
        <f>D72/(B72+D72)</f>
        <v>0.41451199848240539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B1" workbookViewId="0">
      <selection activeCell="J15" sqref="J15"/>
    </sheetView>
  </sheetViews>
  <sheetFormatPr defaultRowHeight="15" x14ac:dyDescent="0.25"/>
  <cols>
    <col min="1" max="1" width="22.42578125" customWidth="1"/>
    <col min="2" max="2" width="7.7109375" bestFit="1" customWidth="1"/>
    <col min="4" max="4" width="51.5703125" bestFit="1" customWidth="1"/>
    <col min="5" max="5" width="8.28515625" bestFit="1" customWidth="1"/>
    <col min="7" max="7" width="51.5703125" bestFit="1" customWidth="1"/>
    <col min="10" max="10" width="51.5703125" bestFit="1" customWidth="1"/>
    <col min="11" max="11" width="8.28515625" bestFit="1" customWidth="1"/>
  </cols>
  <sheetData>
    <row r="1" spans="1:12" s="9" customFormat="1" ht="20.25" x14ac:dyDescent="0.3">
      <c r="A1" s="9" t="s">
        <v>28</v>
      </c>
    </row>
    <row r="2" spans="1:12" s="1" customFormat="1" x14ac:dyDescent="0.25"/>
    <row r="3" spans="1:12" x14ac:dyDescent="0.25">
      <c r="A3" s="5" t="s">
        <v>13</v>
      </c>
      <c r="B3" s="5" t="s">
        <v>15</v>
      </c>
      <c r="D3" s="5" t="s">
        <v>13</v>
      </c>
      <c r="E3" s="5" t="s">
        <v>14</v>
      </c>
      <c r="G3" s="5" t="s">
        <v>0</v>
      </c>
      <c r="H3" s="5" t="s">
        <v>14</v>
      </c>
      <c r="J3" s="5" t="s">
        <v>2</v>
      </c>
      <c r="K3" s="5" t="s">
        <v>14</v>
      </c>
    </row>
    <row r="4" spans="1:12" x14ac:dyDescent="0.25">
      <c r="A4" s="4" t="s">
        <v>3</v>
      </c>
      <c r="B4" s="6">
        <v>1305</v>
      </c>
      <c r="D4" s="4" t="s">
        <v>12</v>
      </c>
      <c r="E4" s="6">
        <v>3</v>
      </c>
      <c r="G4" s="4" t="s">
        <v>11</v>
      </c>
      <c r="H4" s="6">
        <v>1308</v>
      </c>
      <c r="I4" s="1"/>
      <c r="J4" s="4" t="s">
        <v>33</v>
      </c>
      <c r="K4" s="6">
        <v>3</v>
      </c>
    </row>
    <row r="5" spans="1:12" x14ac:dyDescent="0.25">
      <c r="A5" s="4" t="s">
        <v>0</v>
      </c>
      <c r="B5" s="6">
        <v>32586</v>
      </c>
      <c r="D5" s="4" t="s">
        <v>7</v>
      </c>
      <c r="E5" s="6">
        <v>360</v>
      </c>
      <c r="G5" s="4" t="s">
        <v>9</v>
      </c>
      <c r="H5" s="6">
        <v>4405</v>
      </c>
      <c r="J5" s="4" t="s">
        <v>38</v>
      </c>
      <c r="K5" s="6">
        <v>360</v>
      </c>
    </row>
    <row r="6" spans="1:12" x14ac:dyDescent="0.25">
      <c r="A6" s="4" t="s">
        <v>2</v>
      </c>
      <c r="B6" s="6">
        <v>12215</v>
      </c>
      <c r="D6" s="4" t="s">
        <v>1</v>
      </c>
      <c r="E6" s="6">
        <v>632</v>
      </c>
      <c r="G6" s="4" t="s">
        <v>5</v>
      </c>
      <c r="H6" s="6">
        <v>25567</v>
      </c>
      <c r="J6" s="4" t="s">
        <v>34</v>
      </c>
      <c r="K6" s="6">
        <v>632</v>
      </c>
    </row>
    <row r="7" spans="1:12" x14ac:dyDescent="0.25">
      <c r="A7" s="4" t="s">
        <v>10</v>
      </c>
      <c r="B7" s="6">
        <v>6609</v>
      </c>
      <c r="D7" s="4" t="s">
        <v>8</v>
      </c>
      <c r="E7" s="6">
        <v>650</v>
      </c>
      <c r="G7" s="4" t="s">
        <v>19</v>
      </c>
      <c r="H7" s="6">
        <v>1306</v>
      </c>
      <c r="J7" s="4" t="s">
        <v>35</v>
      </c>
      <c r="K7" s="6">
        <v>650</v>
      </c>
    </row>
    <row r="8" spans="1:12" x14ac:dyDescent="0.25">
      <c r="A8" s="7" t="s">
        <v>15</v>
      </c>
      <c r="B8" s="12">
        <f>SUM(B4:B7)</f>
        <v>52715</v>
      </c>
      <c r="D8" s="4" t="s">
        <v>3</v>
      </c>
      <c r="E8" s="6">
        <v>1305</v>
      </c>
      <c r="G8" s="1"/>
      <c r="H8" s="1"/>
      <c r="J8" s="4" t="s">
        <v>37</v>
      </c>
      <c r="K8" s="6">
        <v>3302</v>
      </c>
    </row>
    <row r="9" spans="1:12" x14ac:dyDescent="0.25">
      <c r="A9" s="1"/>
      <c r="B9" s="1"/>
      <c r="D9" s="4" t="s">
        <v>19</v>
      </c>
      <c r="E9" s="6">
        <v>1306</v>
      </c>
      <c r="G9" s="1"/>
      <c r="H9" s="1"/>
      <c r="I9" s="1"/>
      <c r="J9" s="4" t="s">
        <v>36</v>
      </c>
      <c r="K9" s="6">
        <v>7268</v>
      </c>
    </row>
    <row r="10" spans="1:12" x14ac:dyDescent="0.25">
      <c r="A10" s="1"/>
      <c r="B10" s="1"/>
      <c r="D10" s="4" t="s">
        <v>11</v>
      </c>
      <c r="E10" s="6">
        <v>1308</v>
      </c>
      <c r="G10" s="1"/>
      <c r="H10" s="1"/>
      <c r="I10" s="1"/>
      <c r="J10" s="1"/>
      <c r="K10" s="1"/>
      <c r="L10" s="1"/>
    </row>
    <row r="11" spans="1:12" x14ac:dyDescent="0.25">
      <c r="A11" s="1"/>
      <c r="B11" s="1"/>
      <c r="D11" s="4" t="s">
        <v>6</v>
      </c>
      <c r="E11" s="6">
        <v>3302</v>
      </c>
      <c r="G11" s="1"/>
      <c r="H11" s="1"/>
      <c r="I11" s="1"/>
    </row>
    <row r="12" spans="1:12" x14ac:dyDescent="0.25">
      <c r="A12" s="1"/>
      <c r="B12" s="1"/>
      <c r="D12" s="4" t="s">
        <v>9</v>
      </c>
      <c r="E12" s="6">
        <v>4405</v>
      </c>
      <c r="G12" s="1"/>
      <c r="H12" s="1"/>
      <c r="I12" s="1"/>
    </row>
    <row r="13" spans="1:12" x14ac:dyDescent="0.25">
      <c r="D13" s="4" t="s">
        <v>10</v>
      </c>
      <c r="E13" s="6">
        <v>6609</v>
      </c>
      <c r="G13" s="1"/>
      <c r="H13" s="1"/>
      <c r="I13" s="1"/>
    </row>
    <row r="14" spans="1:12" x14ac:dyDescent="0.25">
      <c r="D14" s="4" t="s">
        <v>4</v>
      </c>
      <c r="E14" s="6">
        <v>7268</v>
      </c>
      <c r="G14" s="1"/>
      <c r="H14" s="1"/>
      <c r="I14" s="1"/>
    </row>
    <row r="15" spans="1:12" x14ac:dyDescent="0.25">
      <c r="D15" s="4" t="s">
        <v>5</v>
      </c>
      <c r="E15" s="6">
        <v>25567</v>
      </c>
      <c r="G15" s="1"/>
      <c r="H15" s="1"/>
      <c r="I15" s="1"/>
      <c r="J15" s="1"/>
      <c r="K15" s="1"/>
    </row>
    <row r="16" spans="1:12" x14ac:dyDescent="0.25">
      <c r="C16" s="1"/>
      <c r="D16" s="1"/>
      <c r="E16" s="1"/>
      <c r="J16" s="1"/>
      <c r="K16" s="1"/>
    </row>
    <row r="17" spans="4:11" x14ac:dyDescent="0.25">
      <c r="J17" s="1"/>
      <c r="K17" s="1"/>
    </row>
    <row r="20" spans="4:11" x14ac:dyDescent="0.25">
      <c r="D20" s="2"/>
      <c r="E20" s="3"/>
    </row>
    <row r="21" spans="4:11" x14ac:dyDescent="0.25">
      <c r="D21" s="2"/>
      <c r="E21" s="3"/>
    </row>
    <row r="22" spans="4:11" x14ac:dyDescent="0.25">
      <c r="D22" s="2"/>
      <c r="E22" s="3"/>
    </row>
    <row r="23" spans="4:11" x14ac:dyDescent="0.25">
      <c r="D23" s="2"/>
      <c r="E23" s="3"/>
    </row>
    <row r="24" spans="4:11" x14ac:dyDescent="0.25">
      <c r="D24" s="2"/>
      <c r="E24" s="3"/>
    </row>
    <row r="25" spans="4:11" x14ac:dyDescent="0.25">
      <c r="D25" s="2"/>
      <c r="E25" s="3"/>
    </row>
    <row r="26" spans="4:11" x14ac:dyDescent="0.25">
      <c r="D26" s="2"/>
      <c r="E26" s="3"/>
    </row>
    <row r="27" spans="4:11" x14ac:dyDescent="0.25">
      <c r="D27" s="2"/>
      <c r="E27" s="3"/>
    </row>
    <row r="28" spans="4:11" x14ac:dyDescent="0.25">
      <c r="D28" s="2"/>
      <c r="E28" s="3"/>
    </row>
    <row r="29" spans="4:11" x14ac:dyDescent="0.25">
      <c r="D29" s="2"/>
      <c r="E29" s="3"/>
    </row>
    <row r="30" spans="4:11" x14ac:dyDescent="0.25">
      <c r="D30" s="2"/>
      <c r="E30" s="3"/>
    </row>
    <row r="31" spans="4:11" x14ac:dyDescent="0.25">
      <c r="D31" s="2"/>
      <c r="E31" s="3"/>
    </row>
  </sheetData>
  <autoFilter ref="J3:K3">
    <sortState ref="J4:K9">
      <sortCondition ref="K3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A16" workbookViewId="0">
      <selection activeCell="E49" sqref="E49"/>
    </sheetView>
  </sheetViews>
  <sheetFormatPr defaultRowHeight="15" x14ac:dyDescent="0.25"/>
  <cols>
    <col min="1" max="1" width="51.5703125" style="1" bestFit="1" customWidth="1"/>
    <col min="2" max="5" width="8.28515625" style="1" customWidth="1"/>
    <col min="6" max="6" width="8.7109375" style="1" bestFit="1" customWidth="1"/>
    <col min="7" max="13" width="8.28515625" style="1" customWidth="1"/>
    <col min="14" max="16384" width="9.140625" style="1"/>
  </cols>
  <sheetData>
    <row r="1" spans="1:17" s="9" customFormat="1" ht="20.25" x14ac:dyDescent="0.3">
      <c r="A1" s="9" t="s">
        <v>28</v>
      </c>
    </row>
    <row r="3" spans="1:17" x14ac:dyDescent="0.25">
      <c r="A3" s="5" t="s">
        <v>13</v>
      </c>
      <c r="B3" s="14">
        <v>45658</v>
      </c>
      <c r="C3" s="14">
        <v>45689</v>
      </c>
      <c r="D3" s="14">
        <v>45717</v>
      </c>
      <c r="E3" s="14">
        <v>45748</v>
      </c>
      <c r="F3" s="14">
        <v>45778</v>
      </c>
      <c r="G3" s="14">
        <v>45809</v>
      </c>
      <c r="H3" s="14">
        <v>45839</v>
      </c>
      <c r="I3" s="14">
        <v>45870</v>
      </c>
      <c r="J3" s="14">
        <v>45901</v>
      </c>
      <c r="K3" s="14">
        <v>45931</v>
      </c>
      <c r="L3" s="14">
        <v>45962</v>
      </c>
      <c r="M3" s="14">
        <v>45992</v>
      </c>
      <c r="N3" s="14">
        <v>46023</v>
      </c>
      <c r="O3" s="14">
        <v>46054</v>
      </c>
      <c r="P3" s="14">
        <v>46082</v>
      </c>
      <c r="Q3" s="5" t="s">
        <v>15</v>
      </c>
    </row>
    <row r="4" spans="1:17" x14ac:dyDescent="0.25">
      <c r="A4" s="4" t="s">
        <v>3</v>
      </c>
      <c r="B4" s="10">
        <f>B13</f>
        <v>62</v>
      </c>
      <c r="C4" s="10">
        <f t="shared" ref="C4:P4" si="0">C13</f>
        <v>105</v>
      </c>
      <c r="D4" s="10">
        <f t="shared" si="0"/>
        <v>71</v>
      </c>
      <c r="E4" s="10">
        <f t="shared" si="0"/>
        <v>75</v>
      </c>
      <c r="F4" s="10">
        <f t="shared" si="0"/>
        <v>85</v>
      </c>
      <c r="G4" s="10">
        <f t="shared" si="0"/>
        <v>100</v>
      </c>
      <c r="H4" s="10">
        <f t="shared" si="0"/>
        <v>88</v>
      </c>
      <c r="I4" s="10">
        <f t="shared" si="0"/>
        <v>82</v>
      </c>
      <c r="J4" s="10">
        <f t="shared" si="0"/>
        <v>95</v>
      </c>
      <c r="K4" s="10">
        <f t="shared" si="0"/>
        <v>93</v>
      </c>
      <c r="L4" s="10">
        <f t="shared" si="0"/>
        <v>80</v>
      </c>
      <c r="M4" s="10">
        <f t="shared" si="0"/>
        <v>118</v>
      </c>
      <c r="N4" s="10">
        <f t="shared" si="0"/>
        <v>80</v>
      </c>
      <c r="O4" s="10">
        <f t="shared" si="0"/>
        <v>76</v>
      </c>
      <c r="P4" s="10">
        <f t="shared" si="0"/>
        <v>95</v>
      </c>
      <c r="Q4" s="6">
        <v>1305</v>
      </c>
    </row>
    <row r="5" spans="1:17" x14ac:dyDescent="0.25">
      <c r="A5" s="4" t="s">
        <v>0</v>
      </c>
      <c r="B5" s="10">
        <f>SUM(B14:B17)</f>
        <v>1788</v>
      </c>
      <c r="C5" s="10">
        <f t="shared" ref="C5:P5" si="1">SUM(C14:C17)</f>
        <v>1916</v>
      </c>
      <c r="D5" s="10">
        <f t="shared" si="1"/>
        <v>1493</v>
      </c>
      <c r="E5" s="10">
        <f t="shared" si="1"/>
        <v>1685</v>
      </c>
      <c r="F5" s="10">
        <f t="shared" si="1"/>
        <v>1620</v>
      </c>
      <c r="G5" s="10">
        <f t="shared" si="1"/>
        <v>1518</v>
      </c>
      <c r="H5" s="10">
        <f t="shared" si="1"/>
        <v>7078</v>
      </c>
      <c r="I5" s="10">
        <f t="shared" si="1"/>
        <v>1943</v>
      </c>
      <c r="J5" s="10">
        <f t="shared" si="1"/>
        <v>2025</v>
      </c>
      <c r="K5" s="10">
        <f t="shared" si="1"/>
        <v>2351</v>
      </c>
      <c r="L5" s="10">
        <f t="shared" si="1"/>
        <v>1924</v>
      </c>
      <c r="M5" s="10">
        <f t="shared" si="1"/>
        <v>2106</v>
      </c>
      <c r="N5" s="10">
        <f t="shared" si="1"/>
        <v>2005</v>
      </c>
      <c r="O5" s="10">
        <f t="shared" si="1"/>
        <v>1777</v>
      </c>
      <c r="P5" s="10">
        <f t="shared" si="1"/>
        <v>1705</v>
      </c>
      <c r="Q5" s="6">
        <v>32934</v>
      </c>
    </row>
    <row r="6" spans="1:17" x14ac:dyDescent="0.25">
      <c r="A6" s="4" t="s">
        <v>2</v>
      </c>
      <c r="B6" s="10">
        <f>SUM(B18:B23)</f>
        <v>761</v>
      </c>
      <c r="C6" s="10">
        <f t="shared" ref="C6:P6" si="2">SUM(C18:C23)</f>
        <v>780</v>
      </c>
      <c r="D6" s="10">
        <f t="shared" si="2"/>
        <v>743</v>
      </c>
      <c r="E6" s="10">
        <f t="shared" si="2"/>
        <v>702</v>
      </c>
      <c r="F6" s="10">
        <f t="shared" si="2"/>
        <v>699</v>
      </c>
      <c r="G6" s="10">
        <f t="shared" si="2"/>
        <v>701</v>
      </c>
      <c r="H6" s="10">
        <f t="shared" si="2"/>
        <v>867</v>
      </c>
      <c r="I6" s="10">
        <f t="shared" si="2"/>
        <v>796</v>
      </c>
      <c r="J6" s="10">
        <f t="shared" si="2"/>
        <v>818</v>
      </c>
      <c r="K6" s="10">
        <f t="shared" si="2"/>
        <v>948</v>
      </c>
      <c r="L6" s="10">
        <f t="shared" si="2"/>
        <v>789</v>
      </c>
      <c r="M6" s="10">
        <f t="shared" si="2"/>
        <v>885</v>
      </c>
      <c r="N6" s="10">
        <f t="shared" si="2"/>
        <v>866</v>
      </c>
      <c r="O6" s="10">
        <f t="shared" si="2"/>
        <v>742</v>
      </c>
      <c r="P6" s="10">
        <f t="shared" si="2"/>
        <v>770</v>
      </c>
      <c r="Q6" s="6">
        <v>11867</v>
      </c>
    </row>
    <row r="7" spans="1:17" x14ac:dyDescent="0.25">
      <c r="A7" s="4" t="s">
        <v>10</v>
      </c>
      <c r="B7" s="10">
        <f>B24</f>
        <v>283</v>
      </c>
      <c r="C7" s="10">
        <f t="shared" ref="C7:P7" si="3">C24</f>
        <v>355</v>
      </c>
      <c r="D7" s="10">
        <f t="shared" si="3"/>
        <v>293</v>
      </c>
      <c r="E7" s="10">
        <f t="shared" si="3"/>
        <v>249</v>
      </c>
      <c r="F7" s="10">
        <f t="shared" si="3"/>
        <v>377</v>
      </c>
      <c r="G7" s="10">
        <f t="shared" si="3"/>
        <v>657</v>
      </c>
      <c r="H7" s="10">
        <f t="shared" si="3"/>
        <v>530</v>
      </c>
      <c r="I7" s="10">
        <f t="shared" si="3"/>
        <v>556</v>
      </c>
      <c r="J7" s="10">
        <f t="shared" si="3"/>
        <v>500</v>
      </c>
      <c r="K7" s="10">
        <f t="shared" si="3"/>
        <v>788</v>
      </c>
      <c r="L7" s="10">
        <f t="shared" si="3"/>
        <v>405</v>
      </c>
      <c r="M7" s="10">
        <f t="shared" si="3"/>
        <v>478</v>
      </c>
      <c r="N7" s="10">
        <f t="shared" si="3"/>
        <v>361</v>
      </c>
      <c r="O7" s="10">
        <f t="shared" si="3"/>
        <v>386</v>
      </c>
      <c r="P7" s="10">
        <f t="shared" si="3"/>
        <v>391</v>
      </c>
      <c r="Q7" s="6">
        <v>6609</v>
      </c>
    </row>
    <row r="8" spans="1:17" x14ac:dyDescent="0.25">
      <c r="A8" s="7" t="s">
        <v>15</v>
      </c>
      <c r="B8" s="12">
        <f t="shared" ref="B8:P8" si="4">SUM(B4:B7)</f>
        <v>2894</v>
      </c>
      <c r="C8" s="12">
        <f t="shared" si="4"/>
        <v>3156</v>
      </c>
      <c r="D8" s="12">
        <f t="shared" si="4"/>
        <v>2600</v>
      </c>
      <c r="E8" s="12">
        <f t="shared" si="4"/>
        <v>2711</v>
      </c>
      <c r="F8" s="12">
        <f t="shared" si="4"/>
        <v>2781</v>
      </c>
      <c r="G8" s="12">
        <f t="shared" si="4"/>
        <v>2976</v>
      </c>
      <c r="H8" s="12">
        <f t="shared" si="4"/>
        <v>8563</v>
      </c>
      <c r="I8" s="12">
        <f t="shared" si="4"/>
        <v>3377</v>
      </c>
      <c r="J8" s="12">
        <f t="shared" si="4"/>
        <v>3438</v>
      </c>
      <c r="K8" s="12">
        <f t="shared" si="4"/>
        <v>4180</v>
      </c>
      <c r="L8" s="12">
        <f t="shared" si="4"/>
        <v>3198</v>
      </c>
      <c r="M8" s="12">
        <f t="shared" si="4"/>
        <v>3587</v>
      </c>
      <c r="N8" s="12">
        <f t="shared" si="4"/>
        <v>3312</v>
      </c>
      <c r="O8" s="12">
        <f t="shared" si="4"/>
        <v>2981</v>
      </c>
      <c r="P8" s="12">
        <f t="shared" si="4"/>
        <v>2961</v>
      </c>
      <c r="Q8" s="12">
        <f>SUM(Q4:Q7)</f>
        <v>52715</v>
      </c>
    </row>
    <row r="12" spans="1:17" x14ac:dyDescent="0.25">
      <c r="A12" s="5" t="s">
        <v>13</v>
      </c>
      <c r="B12" s="14">
        <v>45658</v>
      </c>
      <c r="C12" s="14">
        <v>45689</v>
      </c>
      <c r="D12" s="14">
        <v>45717</v>
      </c>
      <c r="E12" s="14">
        <v>45748</v>
      </c>
      <c r="F12" s="14">
        <v>45778</v>
      </c>
      <c r="G12" s="14">
        <v>45809</v>
      </c>
      <c r="H12" s="14">
        <v>45839</v>
      </c>
      <c r="I12" s="14">
        <v>45870</v>
      </c>
      <c r="J12" s="14">
        <v>45901</v>
      </c>
      <c r="K12" s="14">
        <v>45931</v>
      </c>
      <c r="L12" s="14">
        <v>45962</v>
      </c>
      <c r="M12" s="14">
        <v>45992</v>
      </c>
      <c r="N12" s="14">
        <v>46023</v>
      </c>
      <c r="O12" s="14">
        <v>46054</v>
      </c>
      <c r="P12" s="14">
        <v>46082</v>
      </c>
      <c r="Q12" s="5" t="s">
        <v>14</v>
      </c>
    </row>
    <row r="13" spans="1:17" x14ac:dyDescent="0.25">
      <c r="A13" s="4" t="s">
        <v>3</v>
      </c>
      <c r="B13" s="10">
        <v>62</v>
      </c>
      <c r="C13" s="10">
        <v>105</v>
      </c>
      <c r="D13" s="10">
        <v>71</v>
      </c>
      <c r="E13" s="10">
        <v>75</v>
      </c>
      <c r="F13" s="10">
        <v>85</v>
      </c>
      <c r="G13" s="10">
        <v>100</v>
      </c>
      <c r="H13" s="10">
        <v>88</v>
      </c>
      <c r="I13" s="10">
        <v>82</v>
      </c>
      <c r="J13" s="10">
        <v>95</v>
      </c>
      <c r="K13" s="10">
        <v>93</v>
      </c>
      <c r="L13" s="10">
        <v>80</v>
      </c>
      <c r="M13" s="10">
        <v>118</v>
      </c>
      <c r="N13" s="10">
        <v>80</v>
      </c>
      <c r="O13" s="10">
        <v>76</v>
      </c>
      <c r="P13" s="10">
        <v>95</v>
      </c>
      <c r="Q13" s="6">
        <f>SUM(B13:P13)</f>
        <v>1305</v>
      </c>
    </row>
    <row r="14" spans="1:17" x14ac:dyDescent="0.25">
      <c r="A14" s="4" t="s">
        <v>16</v>
      </c>
      <c r="B14" s="10">
        <v>68</v>
      </c>
      <c r="C14" s="10">
        <v>82</v>
      </c>
      <c r="D14" s="10">
        <v>80</v>
      </c>
      <c r="E14" s="10">
        <v>124</v>
      </c>
      <c r="F14" s="10">
        <v>92</v>
      </c>
      <c r="G14" s="10">
        <v>82</v>
      </c>
      <c r="H14" s="10">
        <v>93</v>
      </c>
      <c r="I14" s="10">
        <v>61</v>
      </c>
      <c r="J14" s="10">
        <v>85</v>
      </c>
      <c r="K14" s="10">
        <v>125</v>
      </c>
      <c r="L14" s="10">
        <v>88</v>
      </c>
      <c r="M14" s="10">
        <v>99</v>
      </c>
      <c r="N14" s="10">
        <v>70</v>
      </c>
      <c r="O14" s="10">
        <v>70</v>
      </c>
      <c r="P14" s="10">
        <v>89</v>
      </c>
      <c r="Q14" s="6">
        <f t="shared" ref="Q14:Q24" si="5">SUM(B14:P14)</f>
        <v>1308</v>
      </c>
    </row>
    <row r="15" spans="1:17" x14ac:dyDescent="0.25">
      <c r="A15" s="4" t="s">
        <v>17</v>
      </c>
      <c r="B15" s="10">
        <v>234</v>
      </c>
      <c r="C15" s="10">
        <v>255</v>
      </c>
      <c r="D15" s="10">
        <v>226</v>
      </c>
      <c r="E15" s="10">
        <v>251</v>
      </c>
      <c r="F15" s="10">
        <v>241</v>
      </c>
      <c r="G15" s="10">
        <v>225</v>
      </c>
      <c r="H15" s="10">
        <v>326</v>
      </c>
      <c r="I15" s="10">
        <v>276</v>
      </c>
      <c r="J15" s="10">
        <v>303</v>
      </c>
      <c r="K15" s="10">
        <v>391</v>
      </c>
      <c r="L15" s="10">
        <v>315</v>
      </c>
      <c r="M15" s="10">
        <v>383</v>
      </c>
      <c r="N15" s="10">
        <v>349</v>
      </c>
      <c r="O15" s="10">
        <v>296</v>
      </c>
      <c r="P15" s="10">
        <v>334</v>
      </c>
      <c r="Q15" s="6">
        <f t="shared" si="5"/>
        <v>4405</v>
      </c>
    </row>
    <row r="16" spans="1:17" x14ac:dyDescent="0.25">
      <c r="A16" s="4" t="s">
        <v>18</v>
      </c>
      <c r="B16" s="10">
        <v>1414</v>
      </c>
      <c r="C16" s="10">
        <v>1495</v>
      </c>
      <c r="D16" s="10">
        <v>1097</v>
      </c>
      <c r="E16" s="10">
        <v>1231</v>
      </c>
      <c r="F16" s="10">
        <v>1211</v>
      </c>
      <c r="G16" s="10">
        <v>1143</v>
      </c>
      <c r="H16" s="10">
        <v>6569</v>
      </c>
      <c r="I16" s="10">
        <v>1512</v>
      </c>
      <c r="J16" s="10">
        <v>1539</v>
      </c>
      <c r="K16" s="10">
        <v>1715</v>
      </c>
      <c r="L16" s="10">
        <v>1435</v>
      </c>
      <c r="M16" s="10">
        <v>1531</v>
      </c>
      <c r="N16" s="10">
        <v>1488</v>
      </c>
      <c r="O16" s="10">
        <v>1333</v>
      </c>
      <c r="P16" s="10">
        <v>1202</v>
      </c>
      <c r="Q16" s="6">
        <f t="shared" si="5"/>
        <v>25915</v>
      </c>
    </row>
    <row r="17" spans="1:17" x14ac:dyDescent="0.25">
      <c r="A17" s="4" t="s">
        <v>19</v>
      </c>
      <c r="B17" s="10">
        <v>72</v>
      </c>
      <c r="C17" s="10">
        <v>84</v>
      </c>
      <c r="D17" s="10">
        <v>90</v>
      </c>
      <c r="E17" s="10">
        <v>79</v>
      </c>
      <c r="F17" s="10">
        <v>76</v>
      </c>
      <c r="G17" s="10">
        <v>68</v>
      </c>
      <c r="H17" s="10">
        <v>90</v>
      </c>
      <c r="I17" s="10">
        <v>94</v>
      </c>
      <c r="J17" s="10">
        <v>98</v>
      </c>
      <c r="K17" s="10">
        <v>120</v>
      </c>
      <c r="L17" s="10">
        <v>86</v>
      </c>
      <c r="M17" s="10">
        <v>93</v>
      </c>
      <c r="N17" s="10">
        <v>98</v>
      </c>
      <c r="O17" s="10">
        <v>78</v>
      </c>
      <c r="P17" s="10">
        <v>80</v>
      </c>
      <c r="Q17" s="6">
        <f t="shared" si="5"/>
        <v>1306</v>
      </c>
    </row>
    <row r="18" spans="1:17" x14ac:dyDescent="0.25">
      <c r="A18" s="4" t="s">
        <v>20</v>
      </c>
      <c r="B18" s="10">
        <v>0</v>
      </c>
      <c r="C18" s="10">
        <v>0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6">
        <f t="shared" si="5"/>
        <v>3</v>
      </c>
    </row>
    <row r="19" spans="1:17" x14ac:dyDescent="0.25">
      <c r="A19" s="4" t="s">
        <v>21</v>
      </c>
      <c r="B19" s="10">
        <v>30</v>
      </c>
      <c r="C19" s="10">
        <v>49</v>
      </c>
      <c r="D19" s="10">
        <v>46</v>
      </c>
      <c r="E19" s="10">
        <v>26</v>
      </c>
      <c r="F19" s="10">
        <v>32</v>
      </c>
      <c r="G19" s="10">
        <v>41</v>
      </c>
      <c r="H19" s="10">
        <v>36</v>
      </c>
      <c r="I19" s="10">
        <v>34</v>
      </c>
      <c r="J19" s="10">
        <v>35</v>
      </c>
      <c r="K19" s="10">
        <v>53</v>
      </c>
      <c r="L19" s="10">
        <v>47</v>
      </c>
      <c r="M19" s="10">
        <v>40</v>
      </c>
      <c r="N19" s="10">
        <v>46</v>
      </c>
      <c r="O19" s="10">
        <v>35</v>
      </c>
      <c r="P19" s="10">
        <v>45</v>
      </c>
      <c r="Q19" s="6">
        <f t="shared" si="5"/>
        <v>595</v>
      </c>
    </row>
    <row r="20" spans="1:17" x14ac:dyDescent="0.25">
      <c r="A20" s="4" t="s">
        <v>22</v>
      </c>
      <c r="B20" s="10">
        <v>36</v>
      </c>
      <c r="C20" s="10">
        <v>52</v>
      </c>
      <c r="D20" s="10">
        <v>46</v>
      </c>
      <c r="E20" s="10">
        <v>36</v>
      </c>
      <c r="F20" s="10">
        <v>30</v>
      </c>
      <c r="G20" s="10">
        <v>40</v>
      </c>
      <c r="H20" s="10">
        <v>40</v>
      </c>
      <c r="I20" s="10">
        <v>56</v>
      </c>
      <c r="J20" s="10">
        <v>27</v>
      </c>
      <c r="K20" s="10">
        <v>39</v>
      </c>
      <c r="L20" s="10">
        <v>46</v>
      </c>
      <c r="M20" s="10">
        <v>50</v>
      </c>
      <c r="N20" s="10">
        <v>50</v>
      </c>
      <c r="O20" s="10">
        <v>41</v>
      </c>
      <c r="P20" s="10">
        <v>45</v>
      </c>
      <c r="Q20" s="6">
        <f t="shared" si="5"/>
        <v>634</v>
      </c>
    </row>
    <row r="21" spans="1:17" x14ac:dyDescent="0.25">
      <c r="A21" s="4" t="s">
        <v>23</v>
      </c>
      <c r="B21" s="10">
        <v>469</v>
      </c>
      <c r="C21" s="10">
        <v>477</v>
      </c>
      <c r="D21" s="10">
        <v>418</v>
      </c>
      <c r="E21" s="10">
        <v>434</v>
      </c>
      <c r="F21" s="10">
        <v>412</v>
      </c>
      <c r="G21" s="10">
        <v>412</v>
      </c>
      <c r="H21" s="10">
        <v>505</v>
      </c>
      <c r="I21" s="10">
        <v>484</v>
      </c>
      <c r="J21" s="10">
        <v>526</v>
      </c>
      <c r="K21" s="10">
        <v>574</v>
      </c>
      <c r="L21" s="10">
        <v>445</v>
      </c>
      <c r="M21" s="10">
        <v>538</v>
      </c>
      <c r="N21" s="10">
        <v>535</v>
      </c>
      <c r="O21" s="10">
        <v>460</v>
      </c>
      <c r="P21" s="10">
        <v>473</v>
      </c>
      <c r="Q21" s="6">
        <f t="shared" si="5"/>
        <v>7162</v>
      </c>
    </row>
    <row r="22" spans="1:17" x14ac:dyDescent="0.25">
      <c r="A22" s="4" t="s">
        <v>24</v>
      </c>
      <c r="B22" s="10">
        <v>209</v>
      </c>
      <c r="C22" s="10">
        <v>181</v>
      </c>
      <c r="D22" s="10">
        <v>214</v>
      </c>
      <c r="E22" s="10">
        <v>191</v>
      </c>
      <c r="F22" s="10">
        <v>206</v>
      </c>
      <c r="G22" s="10">
        <v>182</v>
      </c>
      <c r="H22" s="10">
        <v>258</v>
      </c>
      <c r="I22" s="10">
        <v>194</v>
      </c>
      <c r="J22" s="10">
        <v>202</v>
      </c>
      <c r="K22" s="10">
        <v>254</v>
      </c>
      <c r="L22" s="10">
        <v>217</v>
      </c>
      <c r="M22" s="10">
        <v>236</v>
      </c>
      <c r="N22" s="10">
        <v>215</v>
      </c>
      <c r="O22" s="10">
        <v>184</v>
      </c>
      <c r="P22" s="10">
        <v>188</v>
      </c>
      <c r="Q22" s="6">
        <f t="shared" si="5"/>
        <v>3131</v>
      </c>
    </row>
    <row r="23" spans="1:17" x14ac:dyDescent="0.25">
      <c r="A23" s="4" t="s">
        <v>25</v>
      </c>
      <c r="B23" s="10">
        <v>17</v>
      </c>
      <c r="C23" s="10">
        <v>21</v>
      </c>
      <c r="D23" s="10">
        <v>19</v>
      </c>
      <c r="E23" s="10">
        <v>14</v>
      </c>
      <c r="F23" s="10">
        <v>19</v>
      </c>
      <c r="G23" s="10">
        <v>26</v>
      </c>
      <c r="H23" s="10">
        <v>28</v>
      </c>
      <c r="I23" s="10">
        <v>28</v>
      </c>
      <c r="J23" s="10">
        <v>27</v>
      </c>
      <c r="K23" s="10">
        <v>27</v>
      </c>
      <c r="L23" s="10">
        <v>34</v>
      </c>
      <c r="M23" s="10">
        <v>21</v>
      </c>
      <c r="N23" s="10">
        <v>20</v>
      </c>
      <c r="O23" s="10">
        <v>22</v>
      </c>
      <c r="P23" s="10">
        <v>19</v>
      </c>
      <c r="Q23" s="6">
        <f t="shared" si="5"/>
        <v>342</v>
      </c>
    </row>
    <row r="24" spans="1:17" x14ac:dyDescent="0.25">
      <c r="A24" s="4" t="s">
        <v>10</v>
      </c>
      <c r="B24" s="10">
        <v>283</v>
      </c>
      <c r="C24" s="10">
        <v>355</v>
      </c>
      <c r="D24" s="10">
        <v>293</v>
      </c>
      <c r="E24" s="10">
        <v>249</v>
      </c>
      <c r="F24" s="10">
        <v>377</v>
      </c>
      <c r="G24" s="10">
        <v>657</v>
      </c>
      <c r="H24" s="10">
        <v>530</v>
      </c>
      <c r="I24" s="10">
        <v>556</v>
      </c>
      <c r="J24" s="10">
        <v>500</v>
      </c>
      <c r="K24" s="10">
        <v>788</v>
      </c>
      <c r="L24" s="10">
        <v>405</v>
      </c>
      <c r="M24" s="10">
        <v>478</v>
      </c>
      <c r="N24" s="10">
        <v>361</v>
      </c>
      <c r="O24" s="10">
        <v>386</v>
      </c>
      <c r="P24" s="10">
        <v>391</v>
      </c>
      <c r="Q24" s="6">
        <f t="shared" si="5"/>
        <v>6609</v>
      </c>
    </row>
    <row r="25" spans="1:17" x14ac:dyDescent="0.25">
      <c r="A25" s="7" t="s">
        <v>15</v>
      </c>
      <c r="B25" s="12">
        <f t="shared" ref="B25:M25" si="6">SUM(B13:B24)</f>
        <v>2894</v>
      </c>
      <c r="C25" s="12">
        <f t="shared" si="6"/>
        <v>3156</v>
      </c>
      <c r="D25" s="12">
        <f t="shared" si="6"/>
        <v>2600</v>
      </c>
      <c r="E25" s="12">
        <f t="shared" si="6"/>
        <v>2711</v>
      </c>
      <c r="F25" s="12">
        <f t="shared" si="6"/>
        <v>2781</v>
      </c>
      <c r="G25" s="12">
        <f t="shared" si="6"/>
        <v>2976</v>
      </c>
      <c r="H25" s="12">
        <f t="shared" si="6"/>
        <v>8563</v>
      </c>
      <c r="I25" s="12">
        <f t="shared" si="6"/>
        <v>3377</v>
      </c>
      <c r="J25" s="12">
        <f t="shared" si="6"/>
        <v>3438</v>
      </c>
      <c r="K25" s="12">
        <f t="shared" si="6"/>
        <v>4180</v>
      </c>
      <c r="L25" s="12">
        <f t="shared" si="6"/>
        <v>3198</v>
      </c>
      <c r="M25" s="12">
        <f t="shared" si="6"/>
        <v>3587</v>
      </c>
      <c r="N25" s="12">
        <f t="shared" ref="N25:P25" si="7">SUM(N13:N24)</f>
        <v>3312</v>
      </c>
      <c r="O25" s="12">
        <f t="shared" si="7"/>
        <v>2981</v>
      </c>
      <c r="P25" s="12">
        <f t="shared" si="7"/>
        <v>2961</v>
      </c>
      <c r="Q25" s="12">
        <f>SUM(Q13:Q24)</f>
        <v>52715</v>
      </c>
    </row>
    <row r="28" spans="1:17" x14ac:dyDescent="0.25">
      <c r="A28" s="5" t="s">
        <v>0</v>
      </c>
      <c r="B28" s="14">
        <v>45658</v>
      </c>
      <c r="C28" s="14">
        <v>45689</v>
      </c>
      <c r="D28" s="14">
        <v>45717</v>
      </c>
      <c r="E28" s="14">
        <v>45748</v>
      </c>
      <c r="F28" s="14">
        <v>45778</v>
      </c>
      <c r="G28" s="14">
        <v>45809</v>
      </c>
      <c r="H28" s="14">
        <v>45839</v>
      </c>
      <c r="I28" s="14">
        <v>45870</v>
      </c>
      <c r="J28" s="14">
        <v>45901</v>
      </c>
      <c r="K28" s="14">
        <v>45931</v>
      </c>
      <c r="L28" s="14">
        <v>45962</v>
      </c>
      <c r="M28" s="14">
        <v>45992</v>
      </c>
      <c r="N28" s="14">
        <v>46023</v>
      </c>
      <c r="O28" s="14">
        <v>46054</v>
      </c>
      <c r="P28" s="14">
        <v>46082</v>
      </c>
      <c r="Q28" s="5" t="s">
        <v>14</v>
      </c>
    </row>
    <row r="29" spans="1:17" x14ac:dyDescent="0.25">
      <c r="A29" s="4" t="s">
        <v>19</v>
      </c>
      <c r="B29" s="10">
        <v>72</v>
      </c>
      <c r="C29" s="10">
        <v>84</v>
      </c>
      <c r="D29" s="10">
        <v>90</v>
      </c>
      <c r="E29" s="10">
        <v>79</v>
      </c>
      <c r="F29" s="10">
        <v>76</v>
      </c>
      <c r="G29" s="10">
        <v>68</v>
      </c>
      <c r="H29" s="10">
        <v>90</v>
      </c>
      <c r="I29" s="10">
        <v>94</v>
      </c>
      <c r="J29" s="10">
        <v>98</v>
      </c>
      <c r="K29" s="10">
        <v>120</v>
      </c>
      <c r="L29" s="10">
        <v>86</v>
      </c>
      <c r="M29" s="10">
        <v>93</v>
      </c>
      <c r="N29" s="10">
        <v>98</v>
      </c>
      <c r="O29" s="10">
        <v>78</v>
      </c>
      <c r="P29" s="10">
        <v>80</v>
      </c>
      <c r="Q29" s="6">
        <f>SUM(B29:P29)</f>
        <v>1306</v>
      </c>
    </row>
    <row r="30" spans="1:17" x14ac:dyDescent="0.25">
      <c r="A30" s="4" t="s">
        <v>11</v>
      </c>
      <c r="B30" s="10">
        <v>68</v>
      </c>
      <c r="C30" s="10">
        <v>82</v>
      </c>
      <c r="D30" s="10">
        <v>80</v>
      </c>
      <c r="E30" s="10">
        <v>124</v>
      </c>
      <c r="F30" s="10">
        <v>92</v>
      </c>
      <c r="G30" s="10">
        <v>82</v>
      </c>
      <c r="H30" s="10">
        <v>93</v>
      </c>
      <c r="I30" s="10">
        <v>61</v>
      </c>
      <c r="J30" s="10">
        <v>85</v>
      </c>
      <c r="K30" s="10">
        <v>125</v>
      </c>
      <c r="L30" s="10">
        <v>88</v>
      </c>
      <c r="M30" s="10">
        <v>99</v>
      </c>
      <c r="N30" s="10">
        <v>70</v>
      </c>
      <c r="O30" s="10">
        <v>70</v>
      </c>
      <c r="P30" s="10">
        <v>89</v>
      </c>
      <c r="Q30" s="6">
        <f>SUM(B30:P30)</f>
        <v>1308</v>
      </c>
    </row>
    <row r="31" spans="1:17" x14ac:dyDescent="0.25">
      <c r="A31" s="4" t="s">
        <v>9</v>
      </c>
      <c r="B31" s="10">
        <v>234</v>
      </c>
      <c r="C31" s="10">
        <v>255</v>
      </c>
      <c r="D31" s="10">
        <v>226</v>
      </c>
      <c r="E31" s="10">
        <v>251</v>
      </c>
      <c r="F31" s="10">
        <v>241</v>
      </c>
      <c r="G31" s="10">
        <v>225</v>
      </c>
      <c r="H31" s="10">
        <v>326</v>
      </c>
      <c r="I31" s="10">
        <v>276</v>
      </c>
      <c r="J31" s="10">
        <v>303</v>
      </c>
      <c r="K31" s="10">
        <v>391</v>
      </c>
      <c r="L31" s="10">
        <v>315</v>
      </c>
      <c r="M31" s="10">
        <v>383</v>
      </c>
      <c r="N31" s="10">
        <v>349</v>
      </c>
      <c r="O31" s="10">
        <v>296</v>
      </c>
      <c r="P31" s="10">
        <v>334</v>
      </c>
      <c r="Q31" s="6">
        <f>SUM(B31:P31)</f>
        <v>4405</v>
      </c>
    </row>
    <row r="32" spans="1:17" x14ac:dyDescent="0.25">
      <c r="A32" s="4" t="s">
        <v>5</v>
      </c>
      <c r="B32" s="10">
        <v>1414</v>
      </c>
      <c r="C32" s="10">
        <v>1495</v>
      </c>
      <c r="D32" s="10">
        <v>1097</v>
      </c>
      <c r="E32" s="10">
        <v>1231</v>
      </c>
      <c r="F32" s="10">
        <v>1211</v>
      </c>
      <c r="G32" s="10">
        <v>1143</v>
      </c>
      <c r="H32" s="10">
        <v>6569</v>
      </c>
      <c r="I32" s="10">
        <v>1512</v>
      </c>
      <c r="J32" s="10">
        <v>1539</v>
      </c>
      <c r="K32" s="10">
        <v>1715</v>
      </c>
      <c r="L32" s="10">
        <v>1435</v>
      </c>
      <c r="M32" s="10">
        <v>1531</v>
      </c>
      <c r="N32" s="10">
        <v>1488</v>
      </c>
      <c r="O32" s="10">
        <v>1333</v>
      </c>
      <c r="P32" s="10">
        <v>1202</v>
      </c>
      <c r="Q32" s="6">
        <f>SUM(B32:P32)</f>
        <v>25915</v>
      </c>
    </row>
    <row r="35" spans="1:17" x14ac:dyDescent="0.25">
      <c r="A35" s="5" t="s">
        <v>2</v>
      </c>
      <c r="B35" s="14">
        <v>45658</v>
      </c>
      <c r="C35" s="14">
        <v>45689</v>
      </c>
      <c r="D35" s="14">
        <v>45717</v>
      </c>
      <c r="E35" s="14">
        <v>45748</v>
      </c>
      <c r="F35" s="14">
        <v>45778</v>
      </c>
      <c r="G35" s="14">
        <v>45809</v>
      </c>
      <c r="H35" s="14">
        <v>45839</v>
      </c>
      <c r="I35" s="14">
        <v>45870</v>
      </c>
      <c r="J35" s="14">
        <v>45901</v>
      </c>
      <c r="K35" s="14">
        <v>45931</v>
      </c>
      <c r="L35" s="14">
        <v>45962</v>
      </c>
      <c r="M35" s="14">
        <v>45992</v>
      </c>
      <c r="N35" s="14">
        <v>46023</v>
      </c>
      <c r="O35" s="14">
        <v>46054</v>
      </c>
      <c r="P35" s="14">
        <v>46082</v>
      </c>
      <c r="Q35" s="5" t="s">
        <v>14</v>
      </c>
    </row>
    <row r="36" spans="1:17" x14ac:dyDescent="0.25">
      <c r="A36" s="4" t="s">
        <v>33</v>
      </c>
      <c r="B36" s="10">
        <v>0</v>
      </c>
      <c r="C36" s="10">
        <v>0</v>
      </c>
      <c r="D36" s="10">
        <v>0</v>
      </c>
      <c r="E36" s="10">
        <v>1</v>
      </c>
      <c r="F36" s="10">
        <v>0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6">
        <v>3</v>
      </c>
    </row>
    <row r="37" spans="1:17" x14ac:dyDescent="0.25">
      <c r="A37" s="4" t="s">
        <v>34</v>
      </c>
      <c r="B37" s="10">
        <v>30</v>
      </c>
      <c r="C37" s="10">
        <v>49</v>
      </c>
      <c r="D37" s="10">
        <v>46</v>
      </c>
      <c r="E37" s="10">
        <v>26</v>
      </c>
      <c r="F37" s="10">
        <v>32</v>
      </c>
      <c r="G37" s="10">
        <v>41</v>
      </c>
      <c r="H37" s="10">
        <v>36</v>
      </c>
      <c r="I37" s="10">
        <v>34</v>
      </c>
      <c r="J37" s="10">
        <v>35</v>
      </c>
      <c r="K37" s="10">
        <v>53</v>
      </c>
      <c r="L37" s="10">
        <v>47</v>
      </c>
      <c r="M37" s="10">
        <v>40</v>
      </c>
      <c r="N37" s="10">
        <v>46</v>
      </c>
      <c r="O37" s="10">
        <v>35</v>
      </c>
      <c r="P37" s="10">
        <v>45</v>
      </c>
      <c r="Q37" s="6">
        <v>595</v>
      </c>
    </row>
    <row r="38" spans="1:17" x14ac:dyDescent="0.25">
      <c r="A38" s="4" t="s">
        <v>35</v>
      </c>
      <c r="B38" s="10">
        <v>36</v>
      </c>
      <c r="C38" s="10">
        <v>52</v>
      </c>
      <c r="D38" s="10">
        <v>46</v>
      </c>
      <c r="E38" s="10">
        <v>36</v>
      </c>
      <c r="F38" s="10">
        <v>30</v>
      </c>
      <c r="G38" s="10">
        <v>40</v>
      </c>
      <c r="H38" s="10">
        <v>40</v>
      </c>
      <c r="I38" s="10">
        <v>56</v>
      </c>
      <c r="J38" s="10">
        <v>27</v>
      </c>
      <c r="K38" s="10">
        <v>39</v>
      </c>
      <c r="L38" s="10">
        <v>46</v>
      </c>
      <c r="M38" s="10">
        <v>50</v>
      </c>
      <c r="N38" s="10">
        <v>50</v>
      </c>
      <c r="O38" s="10">
        <v>41</v>
      </c>
      <c r="P38" s="10">
        <v>45</v>
      </c>
      <c r="Q38" s="6">
        <v>634</v>
      </c>
    </row>
    <row r="39" spans="1:17" x14ac:dyDescent="0.25">
      <c r="A39" s="4" t="s">
        <v>36</v>
      </c>
      <c r="B39" s="10">
        <v>469</v>
      </c>
      <c r="C39" s="10">
        <v>477</v>
      </c>
      <c r="D39" s="10">
        <v>418</v>
      </c>
      <c r="E39" s="10">
        <v>434</v>
      </c>
      <c r="F39" s="10">
        <v>412</v>
      </c>
      <c r="G39" s="10">
        <v>412</v>
      </c>
      <c r="H39" s="10">
        <v>505</v>
      </c>
      <c r="I39" s="10">
        <v>484</v>
      </c>
      <c r="J39" s="10">
        <v>526</v>
      </c>
      <c r="K39" s="10">
        <v>574</v>
      </c>
      <c r="L39" s="10">
        <v>445</v>
      </c>
      <c r="M39" s="10">
        <v>538</v>
      </c>
      <c r="N39" s="10">
        <v>535</v>
      </c>
      <c r="O39" s="10">
        <v>460</v>
      </c>
      <c r="P39" s="10">
        <v>473</v>
      </c>
      <c r="Q39" s="6">
        <v>7162</v>
      </c>
    </row>
    <row r="40" spans="1:17" x14ac:dyDescent="0.25">
      <c r="A40" s="4" t="s">
        <v>37</v>
      </c>
      <c r="B40" s="10">
        <v>209</v>
      </c>
      <c r="C40" s="10">
        <v>181</v>
      </c>
      <c r="D40" s="10">
        <v>214</v>
      </c>
      <c r="E40" s="10">
        <v>191</v>
      </c>
      <c r="F40" s="10">
        <v>206</v>
      </c>
      <c r="G40" s="10">
        <v>182</v>
      </c>
      <c r="H40" s="10">
        <v>258</v>
      </c>
      <c r="I40" s="10">
        <v>194</v>
      </c>
      <c r="J40" s="10">
        <v>202</v>
      </c>
      <c r="K40" s="10">
        <v>254</v>
      </c>
      <c r="L40" s="10">
        <v>217</v>
      </c>
      <c r="M40" s="10">
        <v>236</v>
      </c>
      <c r="N40" s="10">
        <v>215</v>
      </c>
      <c r="O40" s="10">
        <v>184</v>
      </c>
      <c r="P40" s="10">
        <v>188</v>
      </c>
      <c r="Q40" s="6">
        <v>3131</v>
      </c>
    </row>
    <row r="41" spans="1:17" x14ac:dyDescent="0.25">
      <c r="A41" s="4" t="s">
        <v>38</v>
      </c>
      <c r="B41" s="10">
        <v>17</v>
      </c>
      <c r="C41" s="10">
        <v>21</v>
      </c>
      <c r="D41" s="10">
        <v>19</v>
      </c>
      <c r="E41" s="10">
        <v>14</v>
      </c>
      <c r="F41" s="10">
        <v>19</v>
      </c>
      <c r="G41" s="10">
        <v>26</v>
      </c>
      <c r="H41" s="10">
        <v>28</v>
      </c>
      <c r="I41" s="10">
        <v>28</v>
      </c>
      <c r="J41" s="10">
        <v>27</v>
      </c>
      <c r="K41" s="10">
        <v>27</v>
      </c>
      <c r="L41" s="10">
        <v>34</v>
      </c>
      <c r="M41" s="10">
        <v>21</v>
      </c>
      <c r="N41" s="10">
        <v>20</v>
      </c>
      <c r="O41" s="10">
        <v>22</v>
      </c>
      <c r="P41" s="10">
        <v>19</v>
      </c>
      <c r="Q41" s="6">
        <v>342</v>
      </c>
    </row>
  </sheetData>
  <autoFilter ref="A28:Q28">
    <sortState ref="A29:Q32">
      <sortCondition ref="Q28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A3" sqref="A3:C7"/>
    </sheetView>
  </sheetViews>
  <sheetFormatPr defaultRowHeight="15" x14ac:dyDescent="0.25"/>
  <cols>
    <col min="1" max="1" width="22.42578125" style="1" customWidth="1"/>
    <col min="2" max="4" width="10.5703125" style="1" customWidth="1"/>
    <col min="5" max="5" width="9.140625" style="1"/>
    <col min="6" max="6" width="51.5703125" style="1" bestFit="1" customWidth="1"/>
    <col min="7" max="9" width="10.7109375" style="1" customWidth="1"/>
    <col min="10" max="10" width="9.140625" style="1"/>
    <col min="11" max="11" width="25.7109375" style="1" customWidth="1"/>
    <col min="12" max="14" width="12.28515625" style="1" customWidth="1"/>
    <col min="15" max="15" width="9.140625" style="1"/>
    <col min="16" max="16" width="51.5703125" style="1" bestFit="1" customWidth="1"/>
    <col min="17" max="19" width="10" style="1" customWidth="1"/>
    <col min="20" max="16384" width="9.140625" style="1"/>
  </cols>
  <sheetData>
    <row r="1" spans="1:19" s="9" customFormat="1" ht="20.25" x14ac:dyDescent="0.3">
      <c r="A1" s="9" t="s">
        <v>29</v>
      </c>
    </row>
    <row r="3" spans="1:19" x14ac:dyDescent="0.25">
      <c r="A3" s="5" t="s">
        <v>13</v>
      </c>
      <c r="B3" s="5" t="s">
        <v>26</v>
      </c>
      <c r="C3" s="5" t="s">
        <v>27</v>
      </c>
      <c r="D3" s="5" t="s">
        <v>15</v>
      </c>
      <c r="F3" s="5" t="s">
        <v>13</v>
      </c>
      <c r="G3" s="5" t="s">
        <v>26</v>
      </c>
      <c r="H3" s="5" t="s">
        <v>27</v>
      </c>
      <c r="I3" s="5" t="s">
        <v>14</v>
      </c>
      <c r="K3" s="5" t="s">
        <v>0</v>
      </c>
      <c r="L3" s="5" t="s">
        <v>26</v>
      </c>
      <c r="M3" s="5" t="s">
        <v>27</v>
      </c>
      <c r="N3" s="5" t="s">
        <v>14</v>
      </c>
      <c r="P3" s="5" t="s">
        <v>2</v>
      </c>
      <c r="Q3" s="5" t="s">
        <v>26</v>
      </c>
      <c r="R3" s="5" t="s">
        <v>27</v>
      </c>
      <c r="S3" s="5" t="s">
        <v>14</v>
      </c>
    </row>
    <row r="4" spans="1:19" x14ac:dyDescent="0.25">
      <c r="A4" s="4" t="s">
        <v>3</v>
      </c>
      <c r="B4" s="11">
        <v>659</v>
      </c>
      <c r="C4" s="11">
        <v>646</v>
      </c>
      <c r="D4" s="6">
        <f>SUM(B4:C4)</f>
        <v>1305</v>
      </c>
      <c r="F4" s="4" t="s">
        <v>3</v>
      </c>
      <c r="G4" s="10">
        <v>659</v>
      </c>
      <c r="H4" s="10">
        <v>646</v>
      </c>
      <c r="I4" s="6">
        <f t="shared" ref="I4:I15" si="0">SUM(G4:H4)</f>
        <v>1305</v>
      </c>
      <c r="K4" s="4" t="s">
        <v>19</v>
      </c>
      <c r="L4" s="10">
        <v>710</v>
      </c>
      <c r="M4" s="10">
        <v>596</v>
      </c>
      <c r="N4" s="6">
        <f>SUM(L4:M4)</f>
        <v>1306</v>
      </c>
      <c r="P4" s="4" t="s">
        <v>33</v>
      </c>
      <c r="Q4" s="10">
        <v>3</v>
      </c>
      <c r="R4" s="10">
        <v>0</v>
      </c>
      <c r="S4" s="6">
        <f t="shared" ref="S4:S9" si="1">SUM(Q4:R4)</f>
        <v>3</v>
      </c>
    </row>
    <row r="5" spans="1:19" x14ac:dyDescent="0.25">
      <c r="A5" s="4" t="s">
        <v>10</v>
      </c>
      <c r="B5" s="11">
        <v>3628</v>
      </c>
      <c r="C5" s="11">
        <v>2981</v>
      </c>
      <c r="D5" s="6">
        <f>SUM(B5:C5)</f>
        <v>6609</v>
      </c>
      <c r="F5" s="4" t="s">
        <v>16</v>
      </c>
      <c r="G5" s="10">
        <v>600</v>
      </c>
      <c r="H5" s="10">
        <v>708</v>
      </c>
      <c r="I5" s="6">
        <f t="shared" si="0"/>
        <v>1308</v>
      </c>
      <c r="K5" s="4" t="s">
        <v>11</v>
      </c>
      <c r="L5" s="10">
        <v>600</v>
      </c>
      <c r="M5" s="10">
        <v>708</v>
      </c>
      <c r="N5" s="6">
        <f>SUM(L5:M5)</f>
        <v>1308</v>
      </c>
      <c r="P5" s="4" t="s">
        <v>38</v>
      </c>
      <c r="Q5" s="10">
        <v>166</v>
      </c>
      <c r="R5" s="10">
        <v>176</v>
      </c>
      <c r="S5" s="6">
        <f t="shared" si="1"/>
        <v>342</v>
      </c>
    </row>
    <row r="6" spans="1:19" x14ac:dyDescent="0.25">
      <c r="A6" s="4" t="s">
        <v>2</v>
      </c>
      <c r="B6" s="11">
        <v>7207</v>
      </c>
      <c r="C6" s="11">
        <v>4660</v>
      </c>
      <c r="D6" s="6">
        <f>SUM(B6:C6)</f>
        <v>11867</v>
      </c>
      <c r="F6" s="4" t="s">
        <v>17</v>
      </c>
      <c r="G6" s="10">
        <v>3354</v>
      </c>
      <c r="H6" s="10">
        <v>1051</v>
      </c>
      <c r="I6" s="6">
        <f t="shared" si="0"/>
        <v>4405</v>
      </c>
      <c r="K6" s="4" t="s">
        <v>9</v>
      </c>
      <c r="L6" s="10">
        <v>3354</v>
      </c>
      <c r="M6" s="10">
        <v>1051</v>
      </c>
      <c r="N6" s="6">
        <f>SUM(L6:M6)</f>
        <v>4405</v>
      </c>
      <c r="P6" s="4" t="s">
        <v>34</v>
      </c>
      <c r="Q6" s="10">
        <v>305</v>
      </c>
      <c r="R6" s="10">
        <v>290</v>
      </c>
      <c r="S6" s="6">
        <f t="shared" si="1"/>
        <v>595</v>
      </c>
    </row>
    <row r="7" spans="1:19" x14ac:dyDescent="0.25">
      <c r="A7" s="4" t="s">
        <v>0</v>
      </c>
      <c r="B7" s="11">
        <v>19370</v>
      </c>
      <c r="C7" s="11">
        <v>13564</v>
      </c>
      <c r="D7" s="6">
        <f>SUM(B7:C7)</f>
        <v>32934</v>
      </c>
      <c r="F7" s="4" t="s">
        <v>18</v>
      </c>
      <c r="G7" s="10">
        <v>14706</v>
      </c>
      <c r="H7" s="10">
        <v>11209</v>
      </c>
      <c r="I7" s="6">
        <f t="shared" si="0"/>
        <v>25915</v>
      </c>
      <c r="K7" s="4" t="s">
        <v>5</v>
      </c>
      <c r="L7" s="10">
        <v>14706</v>
      </c>
      <c r="M7" s="10">
        <v>11209</v>
      </c>
      <c r="N7" s="6">
        <f>SUM(L7:M7)</f>
        <v>25915</v>
      </c>
      <c r="P7" s="4" t="s">
        <v>35</v>
      </c>
      <c r="Q7" s="10">
        <v>341</v>
      </c>
      <c r="R7" s="10">
        <v>293</v>
      </c>
      <c r="S7" s="6">
        <f t="shared" si="1"/>
        <v>634</v>
      </c>
    </row>
    <row r="8" spans="1:19" x14ac:dyDescent="0.25">
      <c r="F8" s="4" t="s">
        <v>19</v>
      </c>
      <c r="G8" s="10">
        <v>710</v>
      </c>
      <c r="H8" s="10">
        <v>596</v>
      </c>
      <c r="I8" s="6">
        <f t="shared" si="0"/>
        <v>1306</v>
      </c>
      <c r="P8" s="4" t="s">
        <v>37</v>
      </c>
      <c r="Q8" s="10">
        <v>1623</v>
      </c>
      <c r="R8" s="10">
        <v>1508</v>
      </c>
      <c r="S8" s="6">
        <f t="shared" si="1"/>
        <v>3131</v>
      </c>
    </row>
    <row r="9" spans="1:19" x14ac:dyDescent="0.25">
      <c r="F9" s="4" t="s">
        <v>20</v>
      </c>
      <c r="G9" s="10">
        <v>3</v>
      </c>
      <c r="H9" s="10">
        <v>0</v>
      </c>
      <c r="I9" s="6">
        <f t="shared" si="0"/>
        <v>3</v>
      </c>
      <c r="P9" s="4" t="s">
        <v>36</v>
      </c>
      <c r="Q9" s="10">
        <v>4769</v>
      </c>
      <c r="R9" s="10">
        <v>2393</v>
      </c>
      <c r="S9" s="6">
        <f t="shared" si="1"/>
        <v>7162</v>
      </c>
    </row>
    <row r="10" spans="1:19" x14ac:dyDescent="0.25">
      <c r="F10" s="4" t="s">
        <v>21</v>
      </c>
      <c r="G10" s="10">
        <v>305</v>
      </c>
      <c r="H10" s="10">
        <v>290</v>
      </c>
      <c r="I10" s="6">
        <f t="shared" si="0"/>
        <v>595</v>
      </c>
    </row>
    <row r="11" spans="1:19" x14ac:dyDescent="0.25">
      <c r="F11" s="4" t="s">
        <v>22</v>
      </c>
      <c r="G11" s="10">
        <v>341</v>
      </c>
      <c r="H11" s="10">
        <v>293</v>
      </c>
      <c r="I11" s="6">
        <f t="shared" si="0"/>
        <v>634</v>
      </c>
    </row>
    <row r="12" spans="1:19" x14ac:dyDescent="0.25">
      <c r="F12" s="4" t="s">
        <v>23</v>
      </c>
      <c r="G12" s="10">
        <v>4769</v>
      </c>
      <c r="H12" s="10">
        <v>2393</v>
      </c>
      <c r="I12" s="6">
        <f t="shared" si="0"/>
        <v>7162</v>
      </c>
    </row>
    <row r="13" spans="1:19" x14ac:dyDescent="0.25">
      <c r="F13" s="4" t="s">
        <v>24</v>
      </c>
      <c r="G13" s="10">
        <v>1623</v>
      </c>
      <c r="H13" s="10">
        <v>1508</v>
      </c>
      <c r="I13" s="6">
        <f t="shared" si="0"/>
        <v>3131</v>
      </c>
    </row>
    <row r="14" spans="1:19" x14ac:dyDescent="0.25">
      <c r="F14" s="4" t="s">
        <v>25</v>
      </c>
      <c r="G14" s="10">
        <v>166</v>
      </c>
      <c r="H14" s="10">
        <v>176</v>
      </c>
      <c r="I14" s="6">
        <f t="shared" si="0"/>
        <v>342</v>
      </c>
    </row>
    <row r="15" spans="1:19" x14ac:dyDescent="0.25">
      <c r="F15" s="4" t="s">
        <v>10</v>
      </c>
      <c r="G15" s="10">
        <v>3628</v>
      </c>
      <c r="H15" s="10">
        <v>2981</v>
      </c>
      <c r="I15" s="6">
        <f t="shared" si="0"/>
        <v>6609</v>
      </c>
    </row>
    <row r="16" spans="1:19" x14ac:dyDescent="0.25">
      <c r="F16" s="7" t="s">
        <v>15</v>
      </c>
      <c r="G16" s="12">
        <f t="shared" ref="G16:H16" si="2">SUM(G4:G15)</f>
        <v>30864</v>
      </c>
      <c r="H16" s="12">
        <f t="shared" si="2"/>
        <v>21851</v>
      </c>
      <c r="I16" s="12">
        <f>SUM(I4:I15)</f>
        <v>52715</v>
      </c>
    </row>
  </sheetData>
  <autoFilter ref="A3:D3">
    <sortState ref="A4:D7">
      <sortCondition ref="D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Grafik</vt:lpstr>
      <vt:lpstr>Summary</vt:lpstr>
      <vt:lpstr>Pengunjung Grafik</vt:lpstr>
      <vt:lpstr>Pengunjung Per Bulan Grafik</vt:lpstr>
      <vt:lpstr>Penjamin Grafik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Astuti Nurilasari</dc:creator>
  <cp:lastModifiedBy>Astuti Nurilasari</cp:lastModifiedBy>
  <dcterms:created xsi:type="dcterms:W3CDTF">2026-04-27T02:23:53Z</dcterms:created>
  <dcterms:modified xsi:type="dcterms:W3CDTF">2026-04-29T12:46:38Z</dcterms:modified>
</cp:coreProperties>
</file>